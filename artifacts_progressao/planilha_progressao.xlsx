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_me" sheetId="1" state="visible" r:id="rId1"/>
    <sheet name="referencias" sheetId="2" state="visible" r:id="rId2"/>
    <sheet name="jornada" sheetId="3" state="visible" r:id="rId3"/>
    <sheet name="estagios" sheetId="4" state="visible" r:id="rId4"/>
    <sheet name="portoes" sheetId="5" state="visible" r:id="rId5"/>
    <sheet name="economia_treino" sheetId="6" state="visible" r:id="rId6"/>
    <sheet name="endgame" sheetId="7" state="visible" r:id="rId7"/>
    <sheet name="principios" sheetId="8" state="visible" r:id="rId8"/>
    <sheet name="escala" sheetId="9" state="visible" r:id="rId9"/>
    <sheet name="alert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2" fillId="6" borderId="0" pivotButton="0" quotePrefix="0" xfId="0"/>
    <xf numFmtId="0" fontId="0" fillId="5" borderId="0" pivotButton="0" quotePrefix="0" xfId="0"/>
    <xf numFmtId="0" fontId="4" fillId="0" borderId="0" applyAlignment="1" pivotButton="0" quotePrefix="0" xfId="0">
      <alignment vertical="top" wrapText="1"/>
    </xf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Planilha de progressão do Digilab</t>
        </is>
      </c>
      <c r="B1" s="2" t="inlineStr"/>
    </row>
    <row r="2">
      <c r="A2" s="2" t="inlineStr">
        <is>
          <t>Tarefa</t>
        </is>
      </c>
      <c r="B2" s="2" t="inlineStr">
        <is>
          <t>docs/TAREFA_PLANILHA_PROGRESSAO.md (Partes A e B: mede e propõe; não muda regra)</t>
        </is>
      </c>
    </row>
    <row r="3">
      <c r="A3" s="2" t="inlineStr">
        <is>
          <t>Commit das fontes</t>
        </is>
      </c>
      <c r="B3" s="2" t="inlineStr">
        <is>
          <t>a39b3d8</t>
        </is>
      </c>
    </row>
    <row r="4">
      <c r="A4" s="2" t="inlineStr">
        <is>
          <t>Data do commit</t>
        </is>
      </c>
      <c r="B4" s="2" t="inlineStr">
        <is>
          <t>2026-09-28T18:28:33-03:00</t>
        </is>
      </c>
    </row>
    <row r="5">
      <c r="A5" s="2" t="inlineStr">
        <is>
          <t>Como regenerar</t>
        </is>
      </c>
      <c r="B5" s="2" t="inlineStr">
        <is>
          <t>python tools/gerar_planilha_progressao.py   (--verificar gera duas vezes e compara)</t>
        </is>
      </c>
    </row>
    <row r="6">
      <c r="A6" s="2" t="inlineStr"/>
      <c r="B6" s="2" t="inlineStr"/>
    </row>
    <row r="7">
      <c r="A7" s="3" t="inlineStr">
        <is>
          <t>Abas</t>
        </is>
      </c>
      <c r="B7" s="2" t="inlineStr"/>
    </row>
    <row r="8">
      <c r="A8" s="2" t="inlineStr">
        <is>
          <t>referencias</t>
        </is>
      </c>
      <c r="B8" s="2" t="inlineStr">
        <is>
          <t>números dos jogos de referência (Tamagotchi, v-pets, Digimon World 1, Next Order), com a fonte</t>
        </is>
      </c>
    </row>
    <row r="9">
      <c r="A9" s="2" t="inlineStr">
        <is>
          <t>jornada</t>
        </is>
      </c>
      <c r="B9" s="2" t="inlineStr">
        <is>
          <t>um marco por linha, do ovo ao endgame: tempo, interações, treino, poder esperado × exigido, taxas e metas</t>
        </is>
      </c>
    </row>
    <row r="10">
      <c r="A10" s="2" t="inlineStr">
        <is>
          <t>estagios</t>
        </is>
      </c>
      <c r="B10" s="2" t="inlineStr">
        <is>
          <t>duração, intervalos das necessidades, janela, moeda, contadores, limiares, formas e fracasso</t>
        </is>
      </c>
    </row>
    <row r="11">
      <c r="A11" s="2" t="inlineStr">
        <is>
          <t>portoes</t>
        </is>
      </c>
      <c r="B11" s="2" t="inlineStr">
        <is>
          <t>cada NPC da campanha e a arena: requisito, distância, taxa medida sem e com treino, meta</t>
        </is>
      </c>
    </row>
    <row r="12">
      <c r="A12" s="2" t="inlineStr">
        <is>
          <t>economia_treino</t>
        </is>
      </c>
      <c r="B12" s="2" t="inlineStr">
        <is>
          <t>ganho, tetos, fadiga, forçar, sobrecarga, peso em combate; sessões e pontos por braço</t>
        </is>
      </c>
    </row>
    <row r="13">
      <c r="A13" s="2" t="inlineStr">
        <is>
          <t>endgame</t>
        </is>
      </c>
      <c r="B13" s="2" t="inlineStr">
        <is>
          <t>o que existe depois do adulto: EXECUTADO / ESPECIFICADO / IDEIA</t>
        </is>
      </c>
    </row>
    <row r="14">
      <c r="A14" s="2" t="inlineStr">
        <is>
          <t>principios</t>
        </is>
      </c>
      <c r="B14" s="2" t="inlineStr">
        <is>
          <t>os 7 princípios × Digilab: já tem / parcial / falta, e onde</t>
        </is>
      </c>
    </row>
    <row r="15">
      <c r="A15" s="2" t="inlineStr">
        <is>
          <t>escala</t>
        </is>
      </c>
      <c r="B15" s="2" t="inlineStr">
        <is>
          <t>Parte B: escala atual × proposta × DW1, simulação nas metas, constantes absolutas do combate</t>
        </is>
      </c>
    </row>
    <row r="16">
      <c r="A16" s="2" t="inlineStr">
        <is>
          <t>alertas</t>
        </is>
      </c>
      <c r="B16" s="2" t="inlineStr">
        <is>
          <t>onde a curva não fecha, divergências e células SEM FONTE (com a run que as produziria)</t>
        </is>
      </c>
    </row>
    <row r="17">
      <c r="A17" s="2" t="inlineStr"/>
      <c r="B17" s="2" t="inlineStr"/>
    </row>
    <row r="18">
      <c r="A18" s="3" t="inlineStr">
        <is>
          <t>Status das entradas</t>
        </is>
      </c>
      <c r="B18" s="2" t="inlineStr"/>
    </row>
    <row r="19">
      <c r="A19" s="2" t="inlineStr">
        <is>
          <t>CONFIG</t>
        </is>
      </c>
      <c r="B19" s="2" t="inlineStr">
        <is>
          <t>lido de digilab/config.py, de um JSON de docs/ ou de uma constante de experimento (fonte ao lado)</t>
        </is>
      </c>
    </row>
    <row r="20">
      <c r="A20" s="2" t="inlineStr">
        <is>
          <t>ARTEFATO</t>
        </is>
      </c>
      <c r="B20" s="2" t="inlineStr">
        <is>
          <t>lido de um artefato em disco (fonte ao lado); contagens diretas de eventos das vidas contam aqui</t>
        </is>
      </c>
    </row>
    <row r="21">
      <c r="A21" s="2" t="inlineStr">
        <is>
          <t>REFERENCIA</t>
        </is>
      </c>
      <c r="B21" s="2" t="inlineStr">
        <is>
          <t>número de um jogo de referência (guia de comunidade), só para desenho</t>
        </is>
      </c>
    </row>
    <row r="22">
      <c r="A22" s="2" t="inlineStr">
        <is>
          <t>SEM FONTE</t>
        </is>
      </c>
      <c r="B22" s="2" t="inlineStr">
        <is>
          <t>o número não existe em nenhum artefato; a aba alertas diz qual run o produziria</t>
        </is>
      </c>
    </row>
    <row r="23">
      <c r="A23" s="2" t="inlineStr">
        <is>
          <t>PROPOSTO</t>
        </is>
      </c>
      <c r="B23" s="2" t="inlineStr">
        <is>
          <t>meta ou modelo desta planilha (não é medida); precisa de aprovação</t>
        </is>
      </c>
    </row>
    <row r="24">
      <c r="A24" s="2" t="inlineStr"/>
      <c r="B24" s="2" t="inlineStr"/>
    </row>
    <row r="25">
      <c r="A25" s="3" t="inlineStr">
        <is>
          <t>Cores</t>
        </is>
      </c>
      <c r="B25" s="2" t="inlineStr"/>
    </row>
    <row r="26">
      <c r="A26" s="4" t="inlineStr">
        <is>
          <t>verde (OK)</t>
        </is>
      </c>
      <c r="B26" s="2" t="inlineStr">
        <is>
          <t>dentro da meta: sem treino ≤ 0.3 e com treino típico ≥ 0.8</t>
        </is>
      </c>
    </row>
    <row r="27">
      <c r="A27" s="5" t="inlineStr">
        <is>
          <t>amarelo (PERTO)</t>
        </is>
      </c>
      <c r="B27" s="2" t="inlineStr">
        <is>
          <t>até 0.1 fora da meta</t>
        </is>
      </c>
    </row>
    <row r="28">
      <c r="A28" s="6" t="inlineStr">
        <is>
          <t>vermelho (NAO FECHA)</t>
        </is>
      </c>
      <c r="B28" s="2" t="inlineStr">
        <is>
          <t>a curva não fecha: o conteúdo não exige o que deveria (ou exige demais)</t>
        </is>
      </c>
    </row>
    <row r="29">
      <c r="A29" s="7" t="inlineStr">
        <is>
          <t>cinza</t>
        </is>
      </c>
      <c r="B29" s="2" t="inlineStr">
        <is>
          <t>SEM FONTE</t>
        </is>
      </c>
    </row>
    <row r="30">
      <c r="A30" s="2" t="inlineStr"/>
      <c r="B30" s="2" t="inlineStr"/>
    </row>
    <row r="31">
      <c r="A31" s="2" t="inlineStr">
        <is>
          <t>Modelo de poder (PROPOSTO)</t>
        </is>
      </c>
      <c r="B31" s="2" t="inlineStr">
        <is>
          <t>poder = total de stats × multiplicador de estágio. O total de stats do pet é o orçamento da espécie (60, soma zero) + peso_ponto_combate × pontos treinados; o do NPC é o total dele. O multiplicador de estágio é o que o combate aplica à vida e ao guts (ConfigCatalogo.mult_estagio). É um índice de ordem de grandeza: estilo e ε do NPC decidem mais que ele (ver alertas).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16" customWidth="1" min="3" max="3"/>
    <col width="60" customWidth="1" min="4" max="4"/>
    <col width="16" customWidth="1" min="5" max="5"/>
    <col width="26" customWidth="1" min="6" max="6"/>
  </cols>
  <sheetData>
    <row r="1">
      <c r="A1" s="8" t="inlineStr">
        <is>
          <t>jogo</t>
        </is>
      </c>
      <c r="B1" s="8" t="inlineStr">
        <is>
          <t>item</t>
        </is>
      </c>
      <c r="C1" s="8" t="inlineStr">
        <is>
          <t>valor</t>
        </is>
      </c>
      <c r="D1" s="8" t="inlineStr">
        <is>
          <t>fonte</t>
        </is>
      </c>
      <c r="E1" s="8" t="inlineStr">
        <is>
          <t>status</t>
        </is>
      </c>
      <c r="F1" s="8" t="inlineStr">
        <is>
          <t>unidade</t>
        </is>
      </c>
    </row>
    <row r="2">
      <c r="A2" s="2" t="inlineStr">
        <is>
          <t>Tamagotchi (1996)</t>
        </is>
      </c>
      <c r="B2" s="2" t="inlineStr">
        <is>
          <t>bebê → criança</t>
        </is>
      </c>
      <c r="C2" t="n">
        <v>65</v>
      </c>
      <c r="D2" s="2" t="inlineStr">
        <is>
          <t>guias de comunidade (Thaao's Tamas, TamaVault, wiki do Tamagotchi) (via docs/TAREFA_PLANILHA_PROGRESSAO.md ou mensagem do Matheus)</t>
        </is>
      </c>
      <c r="E2" t="inlineStr">
        <is>
          <t>REFERENCIA</t>
        </is>
      </c>
      <c r="F2" s="2" t="inlineStr">
        <is>
          <t>min</t>
        </is>
      </c>
    </row>
    <row r="3">
      <c r="A3" s="2" t="inlineStr">
        <is>
          <t>Tamagotchi (1996)</t>
        </is>
      </c>
      <c r="B3" s="2" t="inlineStr">
        <is>
          <t>adolescente aos</t>
        </is>
      </c>
      <c r="C3" t="n">
        <v>3</v>
      </c>
      <c r="D3" s="2" t="inlineStr">
        <is>
          <t>idem (via docs/TAREFA_PLANILHA_PROGRESSAO.md ou mensagem do Matheus)</t>
        </is>
      </c>
      <c r="E3" t="inlineStr">
        <is>
          <t>REFERENCIA</t>
        </is>
      </c>
      <c r="F3" s="2" t="inlineStr">
        <is>
          <t>anos (1 ano = 1 dia real)</t>
        </is>
      </c>
    </row>
    <row r="4">
      <c r="A4" s="2" t="inlineStr">
        <is>
          <t>Tamagotchi (1996)</t>
        </is>
      </c>
      <c r="B4" s="2" t="inlineStr">
        <is>
          <t>adulto aos</t>
        </is>
      </c>
      <c r="C4" t="n">
        <v>6</v>
      </c>
      <c r="D4" s="2" t="inlineStr">
        <is>
          <t>idem (via docs/TAREFA_PLANILHA_PROGRESSAO.md ou mensagem do Matheus)</t>
        </is>
      </c>
      <c r="E4" t="inlineStr">
        <is>
          <t>REFERENCIA</t>
        </is>
      </c>
      <c r="F4" s="2" t="inlineStr">
        <is>
          <t>anos</t>
        </is>
      </c>
    </row>
    <row r="5">
      <c r="A5" s="2" t="inlineStr">
        <is>
          <t>Tamagotchi (1996)</t>
        </is>
      </c>
      <c r="B5" s="2" t="inlineStr">
        <is>
          <t>erro de cuidado: chamado sem resposta em</t>
        </is>
      </c>
      <c r="C5" t="n">
        <v>15</v>
      </c>
      <c r="D5" s="2" t="inlineStr">
        <is>
          <t>idem (via docs/TAREFA_PLANILHA_PROGRESSAO.md ou mensagem do Matheus)</t>
        </is>
      </c>
      <c r="E5" t="inlineStr">
        <is>
          <t>REFERENCIA</t>
        </is>
      </c>
      <c r="F5" s="2" t="inlineStr">
        <is>
          <t>min</t>
        </is>
      </c>
    </row>
    <row r="6">
      <c r="A6" s="2" t="inlineStr">
        <is>
          <t>Tamagotchi (1996)</t>
        </is>
      </c>
      <c r="B6" s="2" t="inlineStr">
        <is>
          <t>criança 'boa' com no máximo</t>
        </is>
      </c>
      <c r="C6" t="n">
        <v>1</v>
      </c>
      <c r="D6" s="2" t="inlineStr">
        <is>
          <t>idem (via docs/TAREFA_PLANILHA_PROGRESSAO.md ou mensagem do Matheus)</t>
        </is>
      </c>
      <c r="E6" t="inlineStr">
        <is>
          <t>REFERENCIA</t>
        </is>
      </c>
      <c r="F6" s="2" t="inlineStr">
        <is>
          <t>erro de cuidado</t>
        </is>
      </c>
    </row>
    <row r="7">
      <c r="A7" s="2" t="inlineStr">
        <is>
          <t>Tamagotchi Uni</t>
        </is>
      </c>
      <c r="B7" s="2" t="inlineStr">
        <is>
          <t>criança e adolescente</t>
        </is>
      </c>
      <c r="C7" t="n">
        <v>24</v>
      </c>
      <c r="D7" s="2" t="inlineStr">
        <is>
          <t>idem (via docs/TAREFA_PLANILHA_PROGRESSAO.md ou mensagem do Matheus)</t>
        </is>
      </c>
      <c r="E7" t="inlineStr">
        <is>
          <t>REFERENCIA</t>
        </is>
      </c>
      <c r="F7" s="2" t="inlineStr">
        <is>
          <t>h cada (aprox.)</t>
        </is>
      </c>
    </row>
    <row r="8">
      <c r="A8" s="2" t="inlineStr">
        <is>
          <t>Tamagotchi Uni</t>
        </is>
      </c>
      <c r="B8" s="2" t="inlineStr">
        <is>
          <t>segunda chance: melhor adulto com 1–3 erros e pelo menos</t>
        </is>
      </c>
      <c r="C8" t="n">
        <v>3</v>
      </c>
      <c r="D8" s="2" t="inlineStr">
        <is>
          <t>idem (via docs/TAREFA_PLANILHA_PROGRESSAO.md ou mensagem do Matheus)</t>
        </is>
      </c>
      <c r="E8" t="inlineStr">
        <is>
          <t>REFERENCIA</t>
        </is>
      </c>
      <c r="F8" s="2" t="inlineStr">
        <is>
          <t>passeios</t>
        </is>
      </c>
    </row>
    <row r="9">
      <c r="A9" s="2" t="inlineStr">
        <is>
          <t>V-pets Digimon (Ver.20th/Color)</t>
        </is>
      </c>
      <c r="B9" s="2" t="inlineStr">
        <is>
          <t>estágio I</t>
        </is>
      </c>
      <c r="C9" t="n">
        <v>10</v>
      </c>
      <c r="D9" s="2" t="inlineStr">
        <is>
          <t>guias do humulos (via docs/TAREFA_PLANILHA_PROGRESSAO.md ou mensagem do Matheus)</t>
        </is>
      </c>
      <c r="E9" t="inlineStr">
        <is>
          <t>REFERENCIA</t>
        </is>
      </c>
      <c r="F9" s="2" t="inlineStr">
        <is>
          <t>min</t>
        </is>
      </c>
    </row>
    <row r="10">
      <c r="A10" s="2" t="inlineStr">
        <is>
          <t>V-pets Digimon (Ver.20th/Color)</t>
        </is>
      </c>
      <c r="B10" s="2" t="inlineStr">
        <is>
          <t>estágio II (6–12 h): mínimo</t>
        </is>
      </c>
      <c r="C10" t="n">
        <v>6</v>
      </c>
      <c r="D10" s="2" t="inlineStr">
        <is>
          <t>idem (via docs/TAREFA_PLANILHA_PROGRESSAO.md ou mensagem do Matheus)</t>
        </is>
      </c>
      <c r="E10" t="inlineStr">
        <is>
          <t>REFERENCIA</t>
        </is>
      </c>
      <c r="F10" s="2" t="inlineStr">
        <is>
          <t>h</t>
        </is>
      </c>
    </row>
    <row r="11">
      <c r="A11" s="2" t="inlineStr">
        <is>
          <t>V-pets Digimon (Ver.20th/Color)</t>
        </is>
      </c>
      <c r="B11" s="2" t="inlineStr">
        <is>
          <t>estágio III</t>
        </is>
      </c>
      <c r="C11" t="n">
        <v>24</v>
      </c>
      <c r="D11" s="2" t="inlineStr">
        <is>
          <t>idem (via docs/TAREFA_PLANILHA_PROGRESSAO.md ou mensagem do Matheus)</t>
        </is>
      </c>
      <c r="E11" t="inlineStr">
        <is>
          <t>REFERENCIA</t>
        </is>
      </c>
      <c r="F11" s="2" t="inlineStr">
        <is>
          <t>h</t>
        </is>
      </c>
    </row>
    <row r="12">
      <c r="A12" s="2" t="inlineStr">
        <is>
          <t>V-pets Digimon (Ver.20th/Color)</t>
        </is>
      </c>
      <c r="B12" s="2" t="inlineStr">
        <is>
          <t>estágio IV</t>
        </is>
      </c>
      <c r="C12" t="n">
        <v>36</v>
      </c>
      <c r="D12" s="2" t="inlineStr">
        <is>
          <t>idem (via docs/TAREFA_PLANILHA_PROGRESSAO.md ou mensagem do Matheus)</t>
        </is>
      </c>
      <c r="E12" t="inlineStr">
        <is>
          <t>REFERENCIA</t>
        </is>
      </c>
      <c r="F12" s="2" t="inlineStr">
        <is>
          <t>h</t>
        </is>
      </c>
    </row>
    <row r="13">
      <c r="A13" s="2" t="inlineStr">
        <is>
          <t>V-pets Digimon (Ver.20th/Color)</t>
        </is>
      </c>
      <c r="B13" s="2" t="inlineStr">
        <is>
          <t>estágio V</t>
        </is>
      </c>
      <c r="C13" t="n">
        <v>48</v>
      </c>
      <c r="D13" s="2" t="inlineStr">
        <is>
          <t>idem (via docs/TAREFA_PLANILHA_PROGRESSAO.md ou mensagem do Matheus)</t>
        </is>
      </c>
      <c r="E13" t="inlineStr">
        <is>
          <t>REFERENCIA</t>
        </is>
      </c>
      <c r="F13" s="2" t="inlineStr">
        <is>
          <t>h</t>
        </is>
      </c>
    </row>
    <row r="14">
      <c r="A14" s="2" t="inlineStr">
        <is>
          <t>Digimon World 1</t>
        </is>
      </c>
      <c r="B14" s="2" t="inlineStr">
        <is>
          <t>MetalGreymon: erros de cuidado até</t>
        </is>
      </c>
      <c r="C14" t="n">
        <v>10</v>
      </c>
      <c r="D14" s="2" t="inlineStr">
        <is>
          <t>guia de evolução do GameFAQs (SydMontague) (via docs/TAREFA_PLANILHA_PROGRESSAO.md ou mensagem do Matheus)</t>
        </is>
      </c>
      <c r="E14" t="inlineStr">
        <is>
          <t>REFERENCIA</t>
        </is>
      </c>
      <c r="F14" s="2" t="inlineStr">
        <is>
          <t>erros</t>
        </is>
      </c>
    </row>
    <row r="15">
      <c r="A15" s="2" t="inlineStr">
        <is>
          <t>Digimon World 1</t>
        </is>
      </c>
      <c r="B15" s="2" t="inlineStr">
        <is>
          <t>MetalGreymon: peso</t>
        </is>
      </c>
      <c r="C15" t="n">
        <v>65</v>
      </c>
      <c r="D15" s="2" t="inlineStr">
        <is>
          <t>idem (via docs/TAREFA_PLANILHA_PROGRESSAO.md ou mensagem do Matheus)</t>
        </is>
      </c>
      <c r="E15" t="inlineStr">
        <is>
          <t>REFERENCIA</t>
        </is>
      </c>
      <c r="F15" s="2" t="inlineStr">
        <is>
          <t>g</t>
        </is>
      </c>
    </row>
    <row r="16">
      <c r="A16" s="2" t="inlineStr">
        <is>
          <t>Digimon World 1</t>
        </is>
      </c>
      <c r="B16" s="2" t="inlineStr">
        <is>
          <t>MetalGreymon: bônus de batalhas</t>
        </is>
      </c>
      <c r="C16" t="n">
        <v>30</v>
      </c>
      <c r="D16" s="2" t="inlineStr">
        <is>
          <t>idem (via docs/TAREFA_PLANILHA_PROGRESSAO.md ou mensagem do Matheus)</t>
        </is>
      </c>
      <c r="E16" t="inlineStr">
        <is>
          <t>REFERENCIA</t>
        </is>
      </c>
      <c r="F16" s="2" t="inlineStr">
        <is>
          <t>batalhas</t>
        </is>
      </c>
    </row>
    <row r="17">
      <c r="A17" s="2" t="inlineStr">
        <is>
          <t>Digimon World 1</t>
        </is>
      </c>
      <c r="B17" s="2" t="inlineStr">
        <is>
          <t>vida: mínimo</t>
        </is>
      </c>
      <c r="C17" t="n">
        <v>15</v>
      </c>
      <c r="D17" s="2" t="inlineStr">
        <is>
          <t>idem (via docs/TAREFA_PLANILHA_PROGRESSAO.md ou mensagem do Matheus)</t>
        </is>
      </c>
      <c r="E17" t="inlineStr">
        <is>
          <t>REFERENCIA</t>
        </is>
      </c>
      <c r="F17" s="2" t="inlineStr">
        <is>
          <t>dias de jogo</t>
        </is>
      </c>
    </row>
    <row r="18">
      <c r="A18" s="2" t="inlineStr">
        <is>
          <t>Digimon World 1</t>
        </is>
      </c>
      <c r="B18" s="2" t="inlineStr">
        <is>
          <t>virar Ultimate soma</t>
        </is>
      </c>
      <c r="C18" t="n">
        <v>96</v>
      </c>
      <c r="D18" s="2" t="inlineStr">
        <is>
          <t>idem (via docs/TAREFA_PLANILHA_PROGRESSAO.md ou mensagem do Matheus)</t>
        </is>
      </c>
      <c r="E18" t="inlineStr">
        <is>
          <t>REFERENCIA</t>
        </is>
      </c>
      <c r="F18" s="2" t="inlineStr">
        <is>
          <t>h de vida</t>
        </is>
      </c>
    </row>
    <row r="19">
      <c r="A19" s="2" t="inlineStr">
        <is>
          <t>Digimon World 1</t>
        </is>
      </c>
      <c r="B19" s="2" t="inlineStr">
        <is>
          <t>In-Training: atributos até ~</t>
        </is>
      </c>
      <c r="C19" t="n">
        <v>100</v>
      </c>
      <c r="D19" s="2" t="inlineStr">
        <is>
          <t>guia de evolução do GameFAQs; wiki Grindosaur (via docs/TAREFA_PLANILHA_PROGRESSAO.md ou mensagem do Matheus)</t>
        </is>
      </c>
      <c r="E19" t="inlineStr">
        <is>
          <t>REFERENCIA</t>
        </is>
      </c>
      <c r="F19" s="2" t="inlineStr">
        <is>
          <t>pontos</t>
        </is>
      </c>
    </row>
    <row r="20">
      <c r="A20" s="2" t="inlineStr">
        <is>
          <t>Digimon World 1</t>
        </is>
      </c>
      <c r="B20" s="2" t="inlineStr">
        <is>
          <t>Rookie inicial: HP alvo</t>
        </is>
      </c>
      <c r="C20" t="n">
        <v>1000</v>
      </c>
      <c r="D20" s="2" t="inlineStr">
        <is>
          <t>idem (via docs/TAREFA_PLANILHA_PROGRESSAO.md ou mensagem do Matheus)</t>
        </is>
      </c>
      <c r="E20" t="inlineStr">
        <is>
          <t>REFERENCIA</t>
        </is>
      </c>
      <c r="F20" s="2" t="inlineStr">
        <is>
          <t>HP</t>
        </is>
      </c>
    </row>
    <row r="21">
      <c r="A21" s="2" t="inlineStr">
        <is>
          <t>Digimon World 1</t>
        </is>
      </c>
      <c r="B21" s="2" t="inlineStr">
        <is>
          <t>Rookie inicial: ataque alvo</t>
        </is>
      </c>
      <c r="C21" t="n">
        <v>100</v>
      </c>
      <c r="D21" s="2" t="inlineStr">
        <is>
          <t>idem (via docs/TAREFA_PLANILHA_PROGRESSAO.md ou mensagem do Matheus)</t>
        </is>
      </c>
      <c r="E21" t="inlineStr">
        <is>
          <t>REFERENCIA</t>
        </is>
      </c>
      <c r="F21" s="2" t="inlineStr">
        <is>
          <t>pontos</t>
        </is>
      </c>
    </row>
    <row r="22">
      <c r="A22" s="2" t="inlineStr">
        <is>
          <t>Digimon World 1</t>
        </is>
      </c>
      <c r="B22" s="2" t="inlineStr">
        <is>
          <t>primeiro Agumon selvagem: HP</t>
        </is>
      </c>
      <c r="C22" t="n">
        <v>800</v>
      </c>
      <c r="D22" s="2" t="inlineStr">
        <is>
          <t>idem (via docs/TAREFA_PLANILHA_PROGRESSAO.md ou mensagem do Matheus)</t>
        </is>
      </c>
      <c r="E22" t="inlineStr">
        <is>
          <t>REFERENCIA</t>
        </is>
      </c>
      <c r="F22" s="2" t="inlineStr">
        <is>
          <t>HP</t>
        </is>
      </c>
    </row>
    <row r="23">
      <c r="A23" s="2" t="inlineStr">
        <is>
          <t>Digimon World 1</t>
        </is>
      </c>
      <c r="B23" s="2" t="inlineStr">
        <is>
          <t>Champion 'sólido': HP</t>
        </is>
      </c>
      <c r="C23" t="n">
        <v>1500</v>
      </c>
      <c r="D23" s="2" t="inlineStr">
        <is>
          <t>idem (via docs/TAREFA_PLANILHA_PROGRESSAO.md ou mensagem do Matheus)</t>
        </is>
      </c>
      <c r="E23" t="inlineStr">
        <is>
          <t>REFERENCIA</t>
        </is>
      </c>
      <c r="F23" s="2" t="inlineStr">
        <is>
          <t>HP</t>
        </is>
      </c>
    </row>
    <row r="24">
      <c r="A24" s="2" t="inlineStr">
        <is>
          <t>Digimon World 1</t>
        </is>
      </c>
      <c r="B24" s="2" t="inlineStr">
        <is>
          <t>Champion: requisito de HP (mín.)</t>
        </is>
      </c>
      <c r="C24" t="n">
        <v>1000</v>
      </c>
      <c r="D24" s="2" t="inlineStr">
        <is>
          <t>idem (via docs/TAREFA_PLANILHA_PROGRESSAO.md ou mensagem do Matheus)</t>
        </is>
      </c>
      <c r="E24" t="inlineStr">
        <is>
          <t>REFERENCIA</t>
        </is>
      </c>
      <c r="F24" s="2" t="inlineStr">
        <is>
          <t>HP</t>
        </is>
      </c>
    </row>
    <row r="25">
      <c r="A25" s="2" t="inlineStr">
        <is>
          <t>Digimon World 1</t>
        </is>
      </c>
      <c r="B25" s="2" t="inlineStr">
        <is>
          <t>Champion: requisito de HP (máx.)</t>
        </is>
      </c>
      <c r="C25" t="n">
        <v>2000</v>
      </c>
      <c r="D25" s="2" t="inlineStr">
        <is>
          <t>idem (via docs/TAREFA_PLANILHA_PROGRESSAO.md ou mensagem do Matheus)</t>
        </is>
      </c>
      <c r="E25" t="inlineStr">
        <is>
          <t>REFERENCIA</t>
        </is>
      </c>
      <c r="F25" s="2" t="inlineStr">
        <is>
          <t>HP</t>
        </is>
      </c>
    </row>
    <row r="26">
      <c r="A26" s="2" t="inlineStr">
        <is>
          <t>Digimon World 1</t>
        </is>
      </c>
      <c r="B26" s="2" t="inlineStr">
        <is>
          <t>Ultimate: requisito de HP (mín.)</t>
        </is>
      </c>
      <c r="C26" t="n">
        <v>3000</v>
      </c>
      <c r="D26" s="2" t="inlineStr">
        <is>
          <t>idem (via docs/TAREFA_PLANILHA_PROGRESSAO.md ou mensagem do Matheus)</t>
        </is>
      </c>
      <c r="E26" t="inlineStr">
        <is>
          <t>REFERENCIA</t>
        </is>
      </c>
      <c r="F26" s="2" t="inlineStr">
        <is>
          <t>HP</t>
        </is>
      </c>
    </row>
    <row r="27">
      <c r="A27" s="2" t="inlineStr">
        <is>
          <t>Digimon World 1</t>
        </is>
      </c>
      <c r="B27" s="2" t="inlineStr">
        <is>
          <t>Ultimate: requisito de HP (máx.)</t>
        </is>
      </c>
      <c r="C27" t="n">
        <v>7000</v>
      </c>
      <c r="D27" s="2" t="inlineStr">
        <is>
          <t>idem (via docs/TAREFA_PLANILHA_PROGRESSAO.md ou mensagem do Matheus)</t>
        </is>
      </c>
      <c r="E27" t="inlineStr">
        <is>
          <t>REFERENCIA</t>
        </is>
      </c>
      <c r="F27" s="2" t="inlineStr">
        <is>
          <t>HP</t>
        </is>
      </c>
    </row>
    <row r="28">
      <c r="A28" s="2" t="inlineStr">
        <is>
          <t>Digimon World 1</t>
        </is>
      </c>
      <c r="B28" s="2" t="inlineStr">
        <is>
          <t>Ultimate: atributos (mín.)</t>
        </is>
      </c>
      <c r="C28" t="n">
        <v>400</v>
      </c>
      <c r="D28" s="2" t="inlineStr">
        <is>
          <t>idem (via docs/TAREFA_PLANILHA_PROGRESSAO.md ou mensagem do Matheus)</t>
        </is>
      </c>
      <c r="E28" t="inlineStr">
        <is>
          <t>REFERENCIA</t>
        </is>
      </c>
      <c r="F28" s="2" t="inlineStr">
        <is>
          <t>pontos</t>
        </is>
      </c>
    </row>
    <row r="29">
      <c r="A29" s="2" t="inlineStr">
        <is>
          <t>Digimon World 1</t>
        </is>
      </c>
      <c r="B29" s="2" t="inlineStr">
        <is>
          <t>Ultimate: atributos (máx.)</t>
        </is>
      </c>
      <c r="C29" t="n">
        <v>600</v>
      </c>
      <c r="D29" s="2" t="inlineStr">
        <is>
          <t>idem (via docs/TAREFA_PLANILHA_PROGRESSAO.md ou mensagem do Matheus)</t>
        </is>
      </c>
      <c r="E29" t="inlineStr">
        <is>
          <t>REFERENCIA</t>
        </is>
      </c>
      <c r="F29" s="2" t="inlineStr">
        <is>
          <t>pontos</t>
        </is>
      </c>
    </row>
    <row r="30">
      <c r="A30" s="2" t="inlineStr">
        <is>
          <t>Digimon World: Next Order</t>
        </is>
      </c>
      <c r="B30" s="2" t="inlineStr">
        <is>
          <t>bebê</t>
        </is>
      </c>
      <c r="C30" t="n">
        <v>1</v>
      </c>
      <c r="D30" s="2" t="inlineStr">
        <is>
          <t>GameFAQs, PSNProfiles, Steam (via docs/TAREFA_PLANILHA_PROGRESSAO.md ou mensagem do Matheus)</t>
        </is>
      </c>
      <c r="E30" t="inlineStr">
        <is>
          <t>REFERENCIA</t>
        </is>
      </c>
      <c r="F30" s="2" t="inlineStr">
        <is>
          <t>h</t>
        </is>
      </c>
    </row>
    <row r="31">
      <c r="A31" s="2" t="inlineStr">
        <is>
          <t>Digimon World: Next Order</t>
        </is>
      </c>
      <c r="B31" s="2" t="inlineStr">
        <is>
          <t>In-Training (mín.)</t>
        </is>
      </c>
      <c r="C31" t="n">
        <v>3</v>
      </c>
      <c r="D31" s="2" t="inlineStr">
        <is>
          <t>idem (via docs/TAREFA_PLANILHA_PROGRESSAO.md ou mensagem do Matheus)</t>
        </is>
      </c>
      <c r="E31" t="inlineStr">
        <is>
          <t>REFERENCIA</t>
        </is>
      </c>
      <c r="F31" s="2" t="inlineStr">
        <is>
          <t>h</t>
        </is>
      </c>
    </row>
    <row r="32">
      <c r="A32" s="2" t="inlineStr">
        <is>
          <t>Digimon World: Next Order</t>
        </is>
      </c>
      <c r="B32" s="2" t="inlineStr">
        <is>
          <t>Rookie (mín.)</t>
        </is>
      </c>
      <c r="C32" t="n">
        <v>3</v>
      </c>
      <c r="D32" s="2" t="inlineStr">
        <is>
          <t>idem (via docs/TAREFA_PLANILHA_PROGRESSAO.md ou mensagem do Matheus)</t>
        </is>
      </c>
      <c r="E32" t="inlineStr">
        <is>
          <t>REFERENCIA</t>
        </is>
      </c>
      <c r="F32" s="2" t="inlineStr">
        <is>
          <t>dias</t>
        </is>
      </c>
    </row>
    <row r="33">
      <c r="A33" s="2" t="inlineStr">
        <is>
          <t>Digimon World: Next Order</t>
        </is>
      </c>
      <c r="B33" s="2" t="inlineStr">
        <is>
          <t>Champion (mín.)</t>
        </is>
      </c>
      <c r="C33" t="n">
        <v>5</v>
      </c>
      <c r="D33" s="2" t="inlineStr">
        <is>
          <t>idem (via docs/TAREFA_PLANILHA_PROGRESSAO.md ou mensagem do Matheus)</t>
        </is>
      </c>
      <c r="E33" t="inlineStr">
        <is>
          <t>REFERENCIA</t>
        </is>
      </c>
      <c r="F33" s="2" t="inlineStr">
        <is>
          <t>dias</t>
        </is>
      </c>
    </row>
    <row r="34">
      <c r="A34" s="2" t="inlineStr">
        <is>
          <t>Digimon World: Next Order</t>
        </is>
      </c>
      <c r="B34" s="2" t="inlineStr">
        <is>
          <t>Ultimate (mín.)</t>
        </is>
      </c>
      <c r="C34" t="n">
        <v>10</v>
      </c>
      <c r="D34" s="2" t="inlineStr">
        <is>
          <t>idem (via docs/TAREFA_PLANILHA_PROGRESSAO.md ou mensagem do Matheus)</t>
        </is>
      </c>
      <c r="E34" t="inlineStr">
        <is>
          <t>REFERENCIA</t>
        </is>
      </c>
      <c r="F34" s="2" t="inlineStr">
        <is>
          <t>dias</t>
        </is>
      </c>
    </row>
    <row r="35">
      <c r="A35" s="2" t="inlineStr">
        <is>
          <t>Digimon World: Next Order</t>
        </is>
      </c>
      <c r="B35" s="2" t="inlineStr">
        <is>
          <t>Mega (mín.)</t>
        </is>
      </c>
      <c r="C35" t="n">
        <v>14</v>
      </c>
      <c r="D35" s="2" t="inlineStr">
        <is>
          <t>idem (via docs/TAREFA_PLANILHA_PROGRESSAO.md ou mensagem do Matheus)</t>
        </is>
      </c>
      <c r="E35" t="inlineStr">
        <is>
          <t>REFERENCIA</t>
        </is>
      </c>
      <c r="F35" s="2" t="inlineStr">
        <is>
          <t>dias</t>
        </is>
      </c>
    </row>
    <row r="36">
      <c r="A36" s="2" t="inlineStr">
        <is>
          <t>Digimon World: Next Order</t>
        </is>
      </c>
      <c r="B36" s="2" t="inlineStr">
        <is>
          <t>academia: ganho por hora de jogo (mín.)</t>
        </is>
      </c>
      <c r="C36" t="n">
        <v>30</v>
      </c>
      <c r="D36" s="2" t="inlineStr">
        <is>
          <t>idem (via docs/TAREFA_PLANILHA_PROGRESSAO.md ou mensagem do Matheus)</t>
        </is>
      </c>
      <c r="E36" t="inlineStr">
        <is>
          <t>REFERENCIA</t>
        </is>
      </c>
      <c r="F36" s="2" t="inlineStr">
        <is>
          <t>pontos num stat</t>
        </is>
      </c>
    </row>
    <row r="37">
      <c r="A37" s="2" t="inlineStr">
        <is>
          <t>Digimon World: Next Order</t>
        </is>
      </c>
      <c r="B37" s="2" t="inlineStr">
        <is>
          <t>batalhas: ganho por hora (mín.)</t>
        </is>
      </c>
      <c r="C37" t="n">
        <v>100</v>
      </c>
      <c r="D37" s="2" t="inlineStr">
        <is>
          <t>idem (via docs/TAREFA_PLANILHA_PROGRESSAO.md ou mensagem do Matheus)</t>
        </is>
      </c>
      <c r="E37" t="inlineStr">
        <is>
          <t>REFERENCIA</t>
        </is>
      </c>
      <c r="F37" s="2" t="inlineStr">
        <is>
          <t>pontos em cada stat</t>
        </is>
      </c>
    </row>
    <row r="38">
      <c r="A38" s="2" t="inlineStr">
        <is>
          <t>Digimon World: Next Order</t>
        </is>
      </c>
      <c r="B38" s="2" t="inlineStr">
        <is>
          <t>Ultimate no começo do jogo (mín.)</t>
        </is>
      </c>
      <c r="C38" t="n">
        <v>1200</v>
      </c>
      <c r="D38" s="2" t="inlineStr">
        <is>
          <t>idem (via docs/TAREFA_PLANILHA_PROGRESSAO.md ou mensagem do Matheus)</t>
        </is>
      </c>
      <c r="E38" t="inlineStr">
        <is>
          <t>REFERENCIA</t>
        </is>
      </c>
      <c r="F38" s="2" t="inlineStr">
        <is>
          <t>por stat</t>
        </is>
      </c>
    </row>
    <row r="39">
      <c r="A39" s="2" t="inlineStr">
        <is>
          <t>Digimon World: Next Order</t>
        </is>
      </c>
      <c r="B39" s="2" t="inlineStr">
        <is>
          <t>Ultimate no fim do jogo (mín.)</t>
        </is>
      </c>
      <c r="C39" t="n">
        <v>7000</v>
      </c>
      <c r="D39" s="2" t="inlineStr">
        <is>
          <t>idem (via docs/TAREFA_PLANILHA_PROGRESSAO.md ou mensagem do Matheus)</t>
        </is>
      </c>
      <c r="E39" t="inlineStr">
        <is>
          <t>REFERENCIA</t>
        </is>
      </c>
      <c r="F39" s="2" t="inlineStr">
        <is>
          <t>por stat</t>
        </is>
      </c>
    </row>
    <row r="40">
      <c r="A40" s="2" t="inlineStr">
        <is>
          <t>Digital Tamers: ReBorn (DragonRod)</t>
        </is>
      </c>
      <c r="B40" s="2" t="inlineStr">
        <is>
          <t>meta do ano: campeonatos (calendário como espinha)</t>
        </is>
      </c>
      <c r="C40" t="n">
        <v>12</v>
      </c>
      <c r="D40" s="2" t="inlineStr">
        <is>
          <t>página do itch.io e do jogo; entrevista na Grindosaur (via docs/TAREFA_PLANILHA_PROGRESSAO.md ou mensagem do Matheus)</t>
        </is>
      </c>
      <c r="E40" t="inlineStr">
        <is>
          <t>REFERENCIA</t>
        </is>
      </c>
      <c r="F40" s="2" t="inlineStr">
        <is>
          <t>campeonatos</t>
        </is>
      </c>
    </row>
    <row r="41">
      <c r="A41" s="2" t="inlineStr">
        <is>
          <t>Digital Tamers 2 (DragonRod, 2024)</t>
        </is>
      </c>
      <c r="B41" s="2" t="inlineStr">
        <is>
          <t>Jijimon chega à vila no nível</t>
        </is>
      </c>
      <c r="C41" t="n">
        <v>3</v>
      </c>
      <c r="D41" s="2" t="inlineStr">
        <is>
          <t>idem (via docs/TAREFA_PLANILHA_PROGRESSAO.md ou mensagem do Matheus)</t>
        </is>
      </c>
      <c r="E41" t="inlineStr">
        <is>
          <t>REFERENCIA</t>
        </is>
      </c>
      <c r="F41" s="2" t="inlineStr">
        <is>
          <t>nível da vila</t>
        </is>
      </c>
    </row>
    <row r="42">
      <c r="A42" s="2" t="inlineStr">
        <is>
          <t>Digital Tamers 2 (DragonRod, 2024)</t>
        </is>
      </c>
      <c r="B42" s="2" t="inlineStr">
        <is>
          <t>modo desafios abre com recrutados</t>
        </is>
      </c>
      <c r="C42" t="n">
        <v>5</v>
      </c>
      <c r="D42" s="2" t="inlineStr">
        <is>
          <t>idem (via docs/TAREFA_PLANILHA_PROGRESSAO.md ou mensagem do Matheus)</t>
        </is>
      </c>
      <c r="E42" t="inlineStr">
        <is>
          <t>REFERENCIA</t>
        </is>
      </c>
      <c r="F42" s="2" t="inlineStr">
        <is>
          <t>Digimon recrutados (5+)</t>
        </is>
      </c>
    </row>
    <row r="43">
      <c r="A43" s="2" t="inlineStr">
        <is>
          <t>Digital Tamers 2 (DragonRod, 2024)</t>
        </is>
      </c>
      <c r="B43" s="2" t="inlineStr">
        <is>
          <t>renascimento com herança: morrer no nível</t>
        </is>
      </c>
      <c r="C43" t="n">
        <v>15</v>
      </c>
      <c r="D43" s="2" t="inlineStr">
        <is>
          <t>idem (via docs/TAREFA_PLANILHA_PROGRESSAO.md ou mensagem do Matheus)</t>
        </is>
      </c>
      <c r="E43" t="inlineStr">
        <is>
          <t>REFERENCIA</t>
        </is>
      </c>
      <c r="F43" s="2" t="inlineStr">
        <is>
          <t>nível (15+)</t>
        </is>
      </c>
    </row>
    <row r="44">
      <c r="A44" s="2" t="inlineStr">
        <is>
          <t>Digital Tamers 2 (DragonRod, 2024)</t>
        </is>
      </c>
      <c r="B44" s="2" t="inlineStr">
        <is>
          <t>renascimento com herança: corações de amizade</t>
        </is>
      </c>
      <c r="C44" t="n">
        <v>4</v>
      </c>
      <c r="D44" s="2" t="inlineStr">
        <is>
          <t>idem (via docs/TAREFA_PLANILHA_PROGRESSAO.md ou mensagem do Matheus)</t>
        </is>
      </c>
      <c r="E44" t="inlineStr">
        <is>
          <t>REFERENCIA</t>
        </is>
      </c>
      <c r="F44" s="2" t="inlineStr">
        <is>
          <t>corações (4+)</t>
        </is>
      </c>
    </row>
    <row r="45">
      <c r="A45" s="2" t="inlineStr">
        <is>
          <t>Digital Tamers 2 (DragonRod, 2024)</t>
        </is>
      </c>
      <c r="B45" s="2" t="inlineStr">
        <is>
          <t>desafios</t>
        </is>
      </c>
      <c r="C45" t="n">
        <v>120</v>
      </c>
      <c r="D45" s="2" t="inlineStr">
        <is>
          <t>idem (via docs/TAREFA_PLANILHA_PROGRESSAO.md ou mensagem do Matheus)</t>
        </is>
      </c>
      <c r="E45" t="inlineStr">
        <is>
          <t>REFERENCIA</t>
        </is>
      </c>
      <c r="F45" s="2" t="inlineStr">
        <is>
          <t>desafios (120+)</t>
        </is>
      </c>
    </row>
    <row r="46">
      <c r="A46" s="2" t="inlineStr">
        <is>
          <t>Digital Tamers 2 (DragonRod, 2024)</t>
        </is>
      </c>
      <c r="B46" s="2" t="inlineStr">
        <is>
          <t>missões</t>
        </is>
      </c>
      <c r="C46" t="n">
        <v>50</v>
      </c>
      <c r="D46" s="2" t="inlineStr">
        <is>
          <t>idem (via docs/TAREFA_PLANILHA_PROGRESSAO.md ou mensagem do Matheus)</t>
        </is>
      </c>
      <c r="E46" t="inlineStr">
        <is>
          <t>REFERENCIA</t>
        </is>
      </c>
      <c r="F46" s="2" t="inlineStr">
        <is>
          <t>missões (50+)</t>
        </is>
      </c>
    </row>
    <row r="48">
      <c r="A48" s="2" t="inlineStr">
        <is>
          <t>Digital Tamers 2 / ReBorn</t>
        </is>
      </c>
      <c r="B48" s="2" t="inlineStr">
        <is>
          <t>luta 1x1 em plataforma: o jogador dá comandos, o Digimon luta; gratuito com doação; sem online (custo de servidor e trapaça); jogadores reclamam que o treino é complicado</t>
        </is>
      </c>
      <c r="D48" s="2" t="inlineStr">
        <is>
          <t>itch.io, página do jogo, Grindosaur, comentários</t>
        </is>
      </c>
      <c r="E48" s="2" t="inlineStr">
        <is>
          <t>REFERENCIA (texto)</t>
        </is>
      </c>
    </row>
    <row r="49">
      <c r="A49" s="2" t="inlineStr">
        <is>
          <t>Digital Monster Ver Web (Aderek, ago/2026)</t>
        </is>
      </c>
      <c r="B49" s="2" t="inlineStr">
        <is>
          <t>v-pet no navegador; o tempo continua com o navegador fechado; contas e save na nuvem; guia de campo das espécies encontradas; conjuntos de espécies por aparelho e da comunidade; app Android com widget e anúncios. Princípio declarado: a luta contribui para a progressão sem substituir o ciclo de cuidado</t>
        </is>
      </c>
      <c r="D49" s="2" t="inlineStr">
        <is>
          <t>página do jogo, comentários de jogadores</t>
        </is>
      </c>
      <c r="E49" s="2" t="inlineStr">
        <is>
          <t>REFERENCIA (texto)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30" customWidth="1" min="33" max="33"/>
    <col width="30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40" customWidth="1" min="56" max="56"/>
    <col width="46" customWidth="1" min="57" max="57"/>
    <col width="60" customWidth="1" min="58" max="58"/>
    <col width="46" customWidth="1" min="59" max="59"/>
  </cols>
  <sheetData>
    <row r="1">
      <c r="A1" s="8" t="inlineStr">
        <is>
          <t>marco</t>
        </is>
      </c>
      <c r="B1" s="8" t="inlineStr">
        <is>
          <t>estágio</t>
        </is>
      </c>
      <c r="C1" s="8" t="inlineStr">
        <is>
          <t>tempo desde o ovo (min)</t>
        </is>
      </c>
      <c r="D1" s="8" t="inlineStr">
        <is>
          <t>fonte</t>
        </is>
      </c>
      <c r="E1" s="8" t="inlineStr">
        <is>
          <t>status</t>
        </is>
      </c>
      <c r="F1" s="8" t="inlineStr">
        <is>
          <t>tempo (h)</t>
        </is>
      </c>
      <c r="G1" s="8" t="inlineStr">
        <is>
          <t>interações acumuladas — atencioso</t>
        </is>
      </c>
      <c r="H1" s="8" t="inlineStr">
        <is>
          <t>fonte</t>
        </is>
      </c>
      <c r="I1" s="8" t="inlineStr">
        <is>
          <t>status</t>
        </is>
      </c>
      <c r="J1" s="8" t="inlineStr">
        <is>
          <t>interações — aleatório</t>
        </is>
      </c>
      <c r="K1" s="8" t="inlineStr">
        <is>
          <t>fonte</t>
        </is>
      </c>
      <c r="L1" s="8" t="inlineStr">
        <is>
          <t>status</t>
        </is>
      </c>
      <c r="M1" s="8" t="inlineStr">
        <is>
          <t>interações — exigente</t>
        </is>
      </c>
      <c r="N1" s="8" t="inlineStr">
        <is>
          <t>fonte</t>
        </is>
      </c>
      <c r="O1" s="8" t="inlineStr">
        <is>
          <t>status</t>
        </is>
      </c>
      <c r="P1" s="8" t="inlineStr">
        <is>
          <t>pontos de treino típicos</t>
        </is>
      </c>
      <c r="Q1" s="8" t="inlineStr">
        <is>
          <t>fonte</t>
        </is>
      </c>
      <c r="R1" s="8" t="inlineStr">
        <is>
          <t>status</t>
        </is>
      </c>
      <c r="S1" s="8" t="inlineStr">
        <is>
          <t>pontos medidos no fim da vida (atencioso)</t>
        </is>
      </c>
      <c r="T1" s="8" t="inlineStr">
        <is>
          <t>fonte</t>
        </is>
      </c>
      <c r="U1" s="8" t="inlineStr">
        <is>
          <t>status</t>
        </is>
      </c>
      <c r="V1" s="8" t="inlineStr">
        <is>
          <t>peso do ponto em combate</t>
        </is>
      </c>
      <c r="W1" s="8" t="inlineStr">
        <is>
          <t>fonte</t>
        </is>
      </c>
      <c r="X1" s="8" t="inlineStr">
        <is>
          <t>status</t>
        </is>
      </c>
      <c r="Y1" s="8" t="inlineStr">
        <is>
          <t>total de stats do pet sem treino</t>
        </is>
      </c>
      <c r="Z1" s="8" t="inlineStr">
        <is>
          <t>fonte</t>
        </is>
      </c>
      <c r="AA1" s="8" t="inlineStr">
        <is>
          <t>status</t>
        </is>
      </c>
      <c r="AB1" s="8" t="inlineStr">
        <is>
          <t>mult. de estágio do pet</t>
        </is>
      </c>
      <c r="AC1" s="8" t="inlineStr">
        <is>
          <t>fonte</t>
        </is>
      </c>
      <c r="AD1" s="8" t="inlineStr">
        <is>
          <t>status</t>
        </is>
      </c>
      <c r="AE1" s="8" t="inlineStr">
        <is>
          <t>poder esperado sem treino</t>
        </is>
      </c>
      <c r="AF1" s="8" t="inlineStr">
        <is>
          <t>poder esperado com treino típico</t>
        </is>
      </c>
      <c r="AG1" s="8" t="inlineStr">
        <is>
          <t>conteúdo liberado</t>
        </is>
      </c>
      <c r="AH1" s="8" t="inlineStr">
        <is>
          <t>desafio</t>
        </is>
      </c>
      <c r="AI1" s="8" t="inlineStr">
        <is>
          <t>total de stats do desafio</t>
        </is>
      </c>
      <c r="AJ1" s="8" t="inlineStr">
        <is>
          <t>fonte</t>
        </is>
      </c>
      <c r="AK1" s="8" t="inlineStr">
        <is>
          <t>status</t>
        </is>
      </c>
      <c r="AL1" s="8" t="inlineStr">
        <is>
          <t>mult. de estágio do desafio</t>
        </is>
      </c>
      <c r="AM1" s="8" t="inlineStr">
        <is>
          <t>fonte</t>
        </is>
      </c>
      <c r="AN1" s="8" t="inlineStr">
        <is>
          <t>status</t>
        </is>
      </c>
      <c r="AO1" s="8" t="inlineStr">
        <is>
          <t>poder exigido</t>
        </is>
      </c>
      <c r="AP1" s="8" t="inlineStr">
        <is>
          <t>distância (com treino − exigido)</t>
        </is>
      </c>
      <c r="AQ1" s="8" t="inlineStr">
        <is>
          <t>taxa sem treino</t>
        </is>
      </c>
      <c r="AR1" s="8" t="inlineStr">
        <is>
          <t>fonte</t>
        </is>
      </c>
      <c r="AS1" s="8" t="inlineStr">
        <is>
          <t>status</t>
        </is>
      </c>
      <c r="AT1" s="8" t="inlineStr">
        <is>
          <t>taxa com treino típico</t>
        </is>
      </c>
      <c r="AU1" s="8" t="inlineStr">
        <is>
          <t>fonte</t>
        </is>
      </c>
      <c r="AV1" s="8" t="inlineStr">
        <is>
          <t>status</t>
        </is>
      </c>
      <c r="AW1" s="8" t="inlineStr">
        <is>
          <t>meta sem treino</t>
        </is>
      </c>
      <c r="AX1" s="8" t="inlineStr">
        <is>
          <t>fonte</t>
        </is>
      </c>
      <c r="AY1" s="8" t="inlineStr">
        <is>
          <t>status</t>
        </is>
      </c>
      <c r="AZ1" s="8" t="inlineStr">
        <is>
          <t>meta com treino</t>
        </is>
      </c>
      <c r="BA1" s="8" t="inlineStr">
        <is>
          <t>fonte</t>
        </is>
      </c>
      <c r="BB1" s="8" t="inlineStr">
        <is>
          <t>status</t>
        </is>
      </c>
      <c r="BC1" s="8" t="inlineStr">
        <is>
          <t>status da curva</t>
        </is>
      </c>
      <c r="BD1" s="8" t="inlineStr">
        <is>
          <t>o que o jogador deve sentir</t>
        </is>
      </c>
      <c r="BE1" s="8" t="inlineStr">
        <is>
          <t>o jogador aprende (B1)</t>
        </is>
      </c>
      <c r="BF1" s="8" t="inlineStr">
        <is>
          <t>como é ensinado (tutorial contextual)</t>
        </is>
      </c>
      <c r="BG1" s="8" t="inlineStr">
        <is>
          <t>sinal de que aprendeu</t>
        </is>
      </c>
    </row>
    <row r="2">
      <c r="A2" s="2" t="inlineStr">
        <is>
          <t>Ovo / eclosão</t>
        </is>
      </c>
      <c r="B2" s="2" t="inlineStr">
        <is>
          <t>ovo</t>
        </is>
      </c>
      <c r="C2" t="n">
        <v>0</v>
      </c>
      <c r="D2" s="2" t="inlineStr">
        <is>
          <t>docs/cronograma_interacoes.json &gt; _meta.eclosao (tick 0 = eclosão)</t>
        </is>
      </c>
      <c r="E2" t="inlineStr">
        <is>
          <t>CONFIG</t>
        </is>
      </c>
      <c r="F2" s="9">
        <f>C2/60</f>
        <v/>
      </c>
      <c r="G2" t="n">
        <v>0</v>
      </c>
      <c r="H2" s="2" t="inlineStr">
        <is>
          <t>artifacts_treino/vidas/atencioso@*.jsonl: eventos acao_usuario com tick &lt; 0 (média de 10 ovos)</t>
        </is>
      </c>
      <c r="I2" t="inlineStr">
        <is>
          <t>ARTEFATO</t>
        </is>
      </c>
      <c r="J2" t="n">
        <v>0</v>
      </c>
      <c r="K2" s="2" t="inlineStr">
        <is>
          <t>artifacts_treino/vidas/aleatorio@*.jsonl: eventos acao_usuario com tick &lt; 0 (média de 10 ovos)</t>
        </is>
      </c>
      <c r="L2" t="inlineStr">
        <is>
          <t>ARTEFATO</t>
        </is>
      </c>
      <c r="M2" t="n">
        <v>0</v>
      </c>
      <c r="N2" s="2" t="inlineStr">
        <is>
          <t>artifacts_treino/vidas/exigente@*.jsonl: eventos acao_usuario com tick &lt; 0 (média de 10 ovos)</t>
        </is>
      </c>
      <c r="O2" t="inlineStr">
        <is>
          <t>ARTEFATO</t>
        </is>
      </c>
      <c r="P2" s="2" t="inlineStr">
        <is>
          <t>—</t>
        </is>
      </c>
      <c r="S2" s="2" t="inlineStr">
        <is>
          <t>—</t>
        </is>
      </c>
      <c r="V2" t="n">
        <v>3</v>
      </c>
      <c r="W2" s="2" t="inlineStr">
        <is>
          <t>digilab/config.py &gt; ConfigTreino.peso_ponto_combate</t>
        </is>
      </c>
      <c r="X2" t="inlineStr">
        <is>
          <t>CONFIG</t>
        </is>
      </c>
      <c r="Y2" t="n">
        <v>60</v>
      </c>
      <c r="Z2" s="2" t="inlineStr">
        <is>
          <t>digilab/config.py &gt; ConfigCatalogo.orcamento_especie (soma zero dos modificadores)</t>
        </is>
      </c>
      <c r="AA2" t="inlineStr">
        <is>
          <t>CONFIG</t>
        </is>
      </c>
      <c r="AB2" t="n">
        <v>0</v>
      </c>
      <c r="AC2" s="2" t="inlineStr">
        <is>
          <t>docs/arvore_evolucao.json &gt; capacidade_por_estagio (o ovo não luta)</t>
        </is>
      </c>
      <c r="AD2" t="inlineStr">
        <is>
          <t>CONFIG</t>
        </is>
      </c>
      <c r="AE2" s="9">
        <f>Y2*AB2</f>
        <v/>
      </c>
      <c r="AF2" s="2" t="inlineStr">
        <is>
          <t>—</t>
        </is>
      </c>
      <c r="AG2" s="2" t="inlineStr">
        <is>
          <t>o pet é dele; nome e espécie</t>
        </is>
      </c>
      <c r="AH2" s="2" t="inlineStr">
        <is>
          <t>—</t>
        </is>
      </c>
      <c r="BD2" s="2" t="inlineStr">
        <is>
          <t>curiosidade: o que vai sair do ovo</t>
        </is>
      </c>
      <c r="BE2" s="2" t="inlineStr">
        <is>
          <t>o pet é dele; o tempo do pet anda com o app aberto (fechar = pausa)</t>
        </is>
      </c>
      <c r="BF2" s="2" t="inlineStr">
        <is>
          <t>Bit, ao chocar: 'é seu; enquanto a janela estiver aberta, ele vive'. Uma frase por tela, some ao tocar</t>
        </is>
      </c>
      <c r="BG2" s="2" t="inlineStr">
        <is>
          <t>tocou no ovo e escolheu a velocidade do tempo</t>
        </is>
      </c>
    </row>
    <row r="3">
      <c r="A3" s="2" t="inlineStr">
        <is>
          <t>Fim do In-Training (bebê)</t>
        </is>
      </c>
      <c r="B3" s="2" t="inlineStr">
        <is>
          <t>bebe</t>
        </is>
      </c>
      <c r="C3" t="n">
        <v>180</v>
      </c>
      <c r="D3" s="2" t="inlineStr">
        <is>
          <t>digilab/config.py &gt; ConfigEvolucaoPesquisa.dur_bebe_min</t>
        </is>
      </c>
      <c r="E3" t="inlineStr">
        <is>
          <t>CONFIG</t>
        </is>
      </c>
      <c r="F3" s="9">
        <f>C3/60</f>
        <v/>
      </c>
      <c r="G3" t="n">
        <v>2.1</v>
      </c>
      <c r="H3" s="2" t="inlineStr">
        <is>
          <t>artifacts_treino/vidas/atencioso@*.jsonl: eventos acao_usuario com tick &lt; 180 (média de 10 ovos)</t>
        </is>
      </c>
      <c r="I3" t="inlineStr">
        <is>
          <t>ARTEFATO</t>
        </is>
      </c>
      <c r="J3" t="n">
        <v>2.4</v>
      </c>
      <c r="K3" s="2" t="inlineStr">
        <is>
          <t>artifacts_treino/vidas/aleatorio@*.jsonl: eventos acao_usuario com tick &lt; 180 (média de 10 ovos)</t>
        </is>
      </c>
      <c r="L3" t="inlineStr">
        <is>
          <t>ARTEFATO</t>
        </is>
      </c>
      <c r="M3" t="n">
        <v>2</v>
      </c>
      <c r="N3" s="2" t="inlineStr">
        <is>
          <t>artifacts_treino/vidas/exigente@*.jsonl: eventos acao_usuario com tick &lt; 180 (média de 10 ovos)</t>
        </is>
      </c>
      <c r="O3" t="inlineStr">
        <is>
          <t>ARTEFATO</t>
        </is>
      </c>
      <c r="P3" s="2" t="inlineStr">
        <is>
          <t>—</t>
        </is>
      </c>
      <c r="S3" s="2" t="inlineStr">
        <is>
          <t>—</t>
        </is>
      </c>
      <c r="V3" t="n">
        <v>3</v>
      </c>
      <c r="W3" s="2" t="inlineStr">
        <is>
          <t>digilab/config.py &gt; ConfigTreino.peso_ponto_combate</t>
        </is>
      </c>
      <c r="X3" t="inlineStr">
        <is>
          <t>CONFIG</t>
        </is>
      </c>
      <c r="Y3" t="n">
        <v>60</v>
      </c>
      <c r="Z3" s="2" t="inlineStr">
        <is>
          <t>digilab/config.py &gt; ConfigCatalogo.orcamento_especie (soma zero dos modificadores)</t>
        </is>
      </c>
      <c r="AA3" t="inlineStr">
        <is>
          <t>CONFIG</t>
        </is>
      </c>
      <c r="AB3" t="n">
        <v>0.4</v>
      </c>
      <c r="AC3" s="2" t="inlineStr">
        <is>
          <t>digilab/config.py &gt; ConfigCatalogo.mult_estagio['bebe']</t>
        </is>
      </c>
      <c r="AD3" t="inlineStr">
        <is>
          <t>CONFIG</t>
        </is>
      </c>
      <c r="AE3" s="9">
        <f>Y3*AB3</f>
        <v/>
      </c>
      <c r="AF3" s="2" t="inlineStr">
        <is>
          <t>—</t>
        </is>
      </c>
      <c r="AG3" s="2" t="inlineStr">
        <is>
          <t>ramo sereno/arisco (cuidado ≥ 80%)</t>
        </is>
      </c>
      <c r="AH3" s="2" t="inlineStr">
        <is>
          <t>—</t>
        </is>
      </c>
      <c r="BD3" s="2" t="inlineStr">
        <is>
          <t>atender rápido mudou quem ele é</t>
        </is>
      </c>
      <c r="BE3" s="2" t="inlineStr">
        <is>
          <t>chamados e janela de 15 min (fome, higiene, carinho); atender rápido importa</t>
        </is>
      </c>
      <c r="BF3" s="2" t="inlineStr">
        <is>
          <t>no primeiro chamado: o tempo cai para 1x, Bit aponta o balão e o botão certo; na revelação: 'você atendeu X de Y chamados'</t>
        </is>
      </c>
      <c r="BG3" s="2" t="inlineStr">
        <is>
          <t>atendeu 3 chamados dentro da janela</t>
        </is>
      </c>
    </row>
    <row r="4">
      <c r="A4" s="2" t="inlineStr">
        <is>
          <t>Rookie: Campina aberta</t>
        </is>
      </c>
      <c r="B4" s="2" t="inlineStr">
        <is>
          <t>crianca</t>
        </is>
      </c>
      <c r="C4" t="n">
        <v>180</v>
      </c>
      <c r="D4" s="2" t="inlineStr">
        <is>
          <t>digilab/config.py &gt; ConfigEvolucaoPesquisa.dur_bebe_min (a Campina abre com a criança)</t>
        </is>
      </c>
      <c r="E4" t="inlineStr">
        <is>
          <t>CONFIG</t>
        </is>
      </c>
      <c r="F4" s="9">
        <f>C4/60</f>
        <v/>
      </c>
      <c r="G4" t="n">
        <v>2.1</v>
      </c>
      <c r="H4" s="2" t="inlineStr">
        <is>
          <t>artifacts_treino/vidas/atencioso@*.jsonl: eventos acao_usuario com tick &lt; 180 (média de 10 ovos)</t>
        </is>
      </c>
      <c r="I4" t="inlineStr">
        <is>
          <t>ARTEFATO</t>
        </is>
      </c>
      <c r="J4" t="n">
        <v>2.4</v>
      </c>
      <c r="K4" s="2" t="inlineStr">
        <is>
          <t>artifacts_treino/vidas/aleatorio@*.jsonl: eventos acao_usuario com tick &lt; 180 (média de 10 ovos)</t>
        </is>
      </c>
      <c r="L4" t="inlineStr">
        <is>
          <t>ARTEFATO</t>
        </is>
      </c>
      <c r="M4" t="n">
        <v>2</v>
      </c>
      <c r="N4" s="2" t="inlineStr">
        <is>
          <t>artifacts_treino/vidas/exigente@*.jsonl: eventos acao_usuario com tick &lt; 180 (média de 10 ovos)</t>
        </is>
      </c>
      <c r="O4" t="inlineStr">
        <is>
          <t>ARTEFATO</t>
        </is>
      </c>
      <c r="P4" t="n">
        <v>8</v>
      </c>
      <c r="Q4" s="2" t="inlineStr">
        <is>
          <t>experiments/calibrar_progressao.py &gt; ALCANCE['tier1']['crianca']</t>
        </is>
      </c>
      <c r="R4" t="inlineStr">
        <is>
          <t>CONFIG</t>
        </is>
      </c>
      <c r="S4" s="2" t="inlineStr">
        <is>
          <t>—</t>
        </is>
      </c>
      <c r="V4" t="n">
        <v>3</v>
      </c>
      <c r="W4" s="2" t="inlineStr">
        <is>
          <t>digilab/config.py &gt; ConfigTreino.peso_ponto_combate</t>
        </is>
      </c>
      <c r="X4" t="inlineStr">
        <is>
          <t>CONFIG</t>
        </is>
      </c>
      <c r="Y4" t="n">
        <v>60</v>
      </c>
      <c r="Z4" s="2" t="inlineStr">
        <is>
          <t>digilab/config.py &gt; ConfigCatalogo.orcamento_especie (soma zero dos modificadores)</t>
        </is>
      </c>
      <c r="AA4" t="inlineStr">
        <is>
          <t>CONFIG</t>
        </is>
      </c>
      <c r="AB4" t="n">
        <v>0.6</v>
      </c>
      <c r="AC4" s="2" t="inlineStr">
        <is>
          <t>digilab/config.py &gt; ConfigCatalogo.mult_estagio['crianca']</t>
        </is>
      </c>
      <c r="AD4" t="inlineStr">
        <is>
          <t>CONFIG</t>
        </is>
      </c>
      <c r="AE4" s="9">
        <f>Y4*AB4</f>
        <v/>
      </c>
      <c r="AF4" s="9">
        <f>(Y4+V4*P4)*AB4</f>
        <v/>
      </c>
      <c r="AG4" s="2" t="inlineStr">
        <is>
          <t>treino por botão; primeiro rival</t>
        </is>
      </c>
      <c r="AH4" s="2" t="inlineStr">
        <is>
          <t>Brutamontes (Gazimon)</t>
        </is>
      </c>
      <c r="AI4" t="n">
        <v>96</v>
      </c>
      <c r="AJ4" s="2" t="inlineStr">
        <is>
          <t>digilab/config.py &gt; ConfigCampanha.npcs[tier1_brutamontes].total_stats</t>
        </is>
      </c>
      <c r="AK4" t="inlineStr">
        <is>
          <t>CONFIG</t>
        </is>
      </c>
      <c r="AL4" t="n">
        <v>0.6</v>
      </c>
      <c r="AM4" s="2" t="inlineStr">
        <is>
          <t>digilab/config.py &gt; mult_estagio['crianca'] (estágio do NPC; sem o campo = adulto)</t>
        </is>
      </c>
      <c r="AN4" t="inlineStr">
        <is>
          <t>CONFIG</t>
        </is>
      </c>
      <c r="AO4" s="9">
        <f>AI4*AL4</f>
        <v/>
      </c>
      <c r="AP4" s="9">
        <f>AF4-AO4</f>
        <v/>
      </c>
      <c r="AQ4" t="n">
        <v>0.453</v>
      </c>
      <c r="AR4" s="2" t="inlineStr">
        <is>
          <t>experiments/configs/progressao/validacao_resultado.json &gt; medidas[tier1_brutamontes][crianca][*]['0'] (média das formas)</t>
        </is>
      </c>
      <c r="AS4" t="inlineStr">
        <is>
          <t>ARTEFATO</t>
        </is>
      </c>
      <c r="AT4" t="n">
        <v>0.8090000000000001</v>
      </c>
      <c r="AU4" s="2" t="inlineStr">
        <is>
          <t>experiments/configs/progressao/validacao_resultado.json &gt; medidas[...][crianca][*]['8'] (maior nível ≤ ALCANCE; média das formas)</t>
        </is>
      </c>
      <c r="AV4" t="inlineStr">
        <is>
          <t>ARTEFATO</t>
        </is>
      </c>
      <c r="AW4" t="n">
        <v>0.3</v>
      </c>
      <c r="AX4" s="2" t="inlineStr">
        <is>
          <t>meta desta planilha (TAREFA_PLANILHA_PROGRESSAO B1: ~0,3 sem treino)</t>
        </is>
      </c>
      <c r="AY4" s="10" t="inlineStr">
        <is>
          <t>PROPOSTO</t>
        </is>
      </c>
      <c r="AZ4" t="n">
        <v>0.8</v>
      </c>
      <c r="BA4" s="2" t="inlineStr">
        <is>
          <t>meta desta planilha (B1: ~0,8 com treino típico)</t>
        </is>
      </c>
      <c r="BB4" s="10" t="inlineStr">
        <is>
          <t>PROPOSTO</t>
        </is>
      </c>
      <c r="BC4">
        <f>IF(OR(AQ4="SEM FONTE",AT4="SEM FONTE"),"SEM FONTE",IF(AND(AQ4&lt;=AW4,AT4&gt;=AZ4),"OK",IF(AND(AQ4&lt;=AW4+0.1,AT4&gt;=AZ4-0.1),"PERTO","NAO FECHA")))</f>
        <v/>
      </c>
      <c r="BD4" s="2" t="inlineStr">
        <is>
          <t>preciso treinar para vencer o primeiro rival</t>
        </is>
      </c>
      <c r="BE4" s="2" t="inlineStr">
        <is>
          <t>treino por botão (sem forçar); o primeiro rival pede treino</t>
        </is>
      </c>
      <c r="BF4" s="2" t="inlineStr">
        <is>
          <t>Bit leva à sala de treino no primeiro minuto do Rookie; no primeiro Desafiar perdido, 'faltou força: treine e volte'</t>
        </is>
      </c>
      <c r="BG4" s="2" t="inlineStr">
        <is>
          <t>treinou 3 sessões e venceu o Brutamontes</t>
        </is>
      </c>
    </row>
    <row r="5">
      <c r="A5" s="2" t="inlineStr">
        <is>
          <t>Fim do Rookie (criança)</t>
        </is>
      </c>
      <c r="B5" s="2" t="inlineStr">
        <is>
          <t>crianca</t>
        </is>
      </c>
      <c r="C5" t="n">
        <v>900</v>
      </c>
      <c r="D5" s="2" t="inlineStr">
        <is>
          <t>digilab/config.py &gt; dur_bebe_min + dur_crianca_min</t>
        </is>
      </c>
      <c r="E5" t="inlineStr">
        <is>
          <t>CONFIG</t>
        </is>
      </c>
      <c r="F5" s="9">
        <f>C5/60</f>
        <v/>
      </c>
      <c r="G5" t="n">
        <v>15</v>
      </c>
      <c r="H5" s="2" t="inlineStr">
        <is>
          <t>artifacts_treino/vidas/atencioso@*.jsonl: eventos acao_usuario com tick &lt; 900 (média de 10 ovos)</t>
        </is>
      </c>
      <c r="I5" t="inlineStr">
        <is>
          <t>ARTEFATO</t>
        </is>
      </c>
      <c r="J5" t="n">
        <v>14.3</v>
      </c>
      <c r="K5" s="2" t="inlineStr">
        <is>
          <t>artifacts_treino/vidas/aleatorio@*.jsonl: eventos acao_usuario com tick &lt; 900 (média de 10 ovos)</t>
        </is>
      </c>
      <c r="L5" t="inlineStr">
        <is>
          <t>ARTEFATO</t>
        </is>
      </c>
      <c r="M5" t="n">
        <v>16</v>
      </c>
      <c r="N5" s="2" t="inlineStr">
        <is>
          <t>artifacts_treino/vidas/exigente@*.jsonl: eventos acao_usuario com tick &lt; 900 (média de 10 ovos)</t>
        </is>
      </c>
      <c r="O5" t="inlineStr">
        <is>
          <t>ARTEFATO</t>
        </is>
      </c>
      <c r="P5" s="2" t="inlineStr">
        <is>
          <t>—</t>
        </is>
      </c>
      <c r="S5" s="2" t="inlineStr">
        <is>
          <t>—</t>
        </is>
      </c>
      <c r="V5" t="n">
        <v>3</v>
      </c>
      <c r="W5" s="2" t="inlineStr">
        <is>
          <t>digilab/config.py &gt; ConfigTreino.peso_ponto_combate</t>
        </is>
      </c>
      <c r="X5" t="inlineStr">
        <is>
          <t>CONFIG</t>
        </is>
      </c>
      <c r="Y5" t="n">
        <v>60</v>
      </c>
      <c r="Z5" s="2" t="inlineStr">
        <is>
          <t>digilab/config.py &gt; ConfigCatalogo.orcamento_especie (soma zero dos modificadores)</t>
        </is>
      </c>
      <c r="AA5" t="inlineStr">
        <is>
          <t>CONFIG</t>
        </is>
      </c>
      <c r="AB5" t="n">
        <v>0.6</v>
      </c>
      <c r="AC5" s="2" t="inlineStr">
        <is>
          <t>digilab/config.py &gt; ConfigCatalogo.mult_estagio['crianca']</t>
        </is>
      </c>
      <c r="AD5" t="inlineStr">
        <is>
          <t>CONFIG</t>
        </is>
      </c>
      <c r="AE5" s="9">
        <f>Y5*AB5</f>
        <v/>
      </c>
      <c r="AF5" s="2" t="inlineStr">
        <is>
          <t>—</t>
        </is>
      </c>
      <c r="AG5" s="2" t="inlineStr">
        <is>
          <t>linha pelo caráter + técnica</t>
        </is>
      </c>
      <c r="AH5" s="2" t="inlineStr">
        <is>
          <t>—</t>
        </is>
      </c>
      <c r="BD5" s="2" t="inlineStr">
        <is>
          <t>o jeito que ensinei virou a linha dele</t>
        </is>
      </c>
      <c r="BE5" s="2" t="inlineStr">
        <is>
          <t>ensinar: elogiar e repreender o que ele acabou de fazer; necessidade × vontade; a primeira recusa</t>
        </is>
      </c>
      <c r="BF5" s="2" t="inlineStr">
        <is>
          <t>na primeira ação espontânea: Bit mostra Elogiar/Repreender e o 'o que muda'; na primeira recusa, o balão com o porquê</t>
        </is>
      </c>
      <c r="BG5" s="2" t="inlineStr">
        <is>
          <t>elogiou ou repreendeu 3 vezes na janela de 2 min</t>
        </is>
      </c>
    </row>
    <row r="6">
      <c r="A6" s="2" t="inlineStr">
        <is>
          <t>Champion: Torre de pedra</t>
        </is>
      </c>
      <c r="B6" s="2" t="inlineStr">
        <is>
          <t>adolescente</t>
        </is>
      </c>
      <c r="C6" t="n">
        <v>900</v>
      </c>
      <c r="D6" s="2" t="inlineStr">
        <is>
          <t>digilab/config.py &gt; dur_bebe_min + dur_crianca_min</t>
        </is>
      </c>
      <c r="E6" t="inlineStr">
        <is>
          <t>CONFIG</t>
        </is>
      </c>
      <c r="F6" s="9">
        <f>C6/60</f>
        <v/>
      </c>
      <c r="G6" t="n">
        <v>15</v>
      </c>
      <c r="H6" s="2" t="inlineStr">
        <is>
          <t>artifacts_treino/vidas/atencioso@*.jsonl: eventos acao_usuario com tick &lt; 900 (média de 10 ovos)</t>
        </is>
      </c>
      <c r="I6" t="inlineStr">
        <is>
          <t>ARTEFATO</t>
        </is>
      </c>
      <c r="J6" t="n">
        <v>14.3</v>
      </c>
      <c r="K6" s="2" t="inlineStr">
        <is>
          <t>artifacts_treino/vidas/aleatorio@*.jsonl: eventos acao_usuario com tick &lt; 900 (média de 10 ovos)</t>
        </is>
      </c>
      <c r="L6" t="inlineStr">
        <is>
          <t>ARTEFATO</t>
        </is>
      </c>
      <c r="M6" t="n">
        <v>16</v>
      </c>
      <c r="N6" s="2" t="inlineStr">
        <is>
          <t>artifacts_treino/vidas/exigente@*.jsonl: eventos acao_usuario com tick &lt; 900 (média de 10 ovos)</t>
        </is>
      </c>
      <c r="O6" t="inlineStr">
        <is>
          <t>ARTEFATO</t>
        </is>
      </c>
      <c r="P6" t="n">
        <v>22</v>
      </c>
      <c r="Q6" s="2" t="inlineStr">
        <is>
          <t>experiments/calibrar_progressao.py &gt; ALCANCE['tier2']['adolescente']</t>
        </is>
      </c>
      <c r="R6" t="inlineStr">
        <is>
          <t>CONFIG</t>
        </is>
      </c>
      <c r="S6" s="2" t="inlineStr">
        <is>
          <t>—</t>
        </is>
      </c>
      <c r="V6" t="n">
        <v>3</v>
      </c>
      <c r="W6" s="2" t="inlineStr">
        <is>
          <t>digilab/config.py &gt; ConfigTreino.peso_ponto_combate</t>
        </is>
      </c>
      <c r="X6" t="inlineStr">
        <is>
          <t>CONFIG</t>
        </is>
      </c>
      <c r="Y6" t="n">
        <v>60</v>
      </c>
      <c r="Z6" s="2" t="inlineStr">
        <is>
          <t>digilab/config.py &gt; ConfigCatalogo.orcamento_especie (soma zero dos modificadores)</t>
        </is>
      </c>
      <c r="AA6" t="inlineStr">
        <is>
          <t>CONFIG</t>
        </is>
      </c>
      <c r="AB6" t="n">
        <v>0.8</v>
      </c>
      <c r="AC6" s="2" t="inlineStr">
        <is>
          <t>digilab/config.py &gt; ConfigCatalogo.mult_estagio['adolescente']</t>
        </is>
      </c>
      <c r="AD6" t="inlineStr">
        <is>
          <t>CONFIG</t>
        </is>
      </c>
      <c r="AE6" s="9">
        <f>Y6*AB6</f>
        <v/>
      </c>
      <c r="AF6" s="9">
        <f>(Y6+V6*P6)*AB6</f>
        <v/>
      </c>
      <c r="AG6" s="2" t="inlineStr">
        <is>
          <t>3 rivais à escolha; forçar e sobrecarga</t>
        </is>
      </c>
      <c r="AH6" s="2" t="inlineStr">
        <is>
          <t>Sentinela (Tortomon) / Carcereiro / Porteiro (média dos rivais)</t>
        </is>
      </c>
      <c r="AI6" t="n">
        <v>84</v>
      </c>
      <c r="AJ6" s="2" t="inlineStr">
        <is>
          <t>digilab/config.py &gt; ConfigCampanha.npcs[tier2_sentinela, tier2_carcereiro, tier2_porteiro].total_stats (média)</t>
        </is>
      </c>
      <c r="AK6" t="inlineStr">
        <is>
          <t>CONFIG</t>
        </is>
      </c>
      <c r="AL6" t="n">
        <v>1</v>
      </c>
      <c r="AM6" s="2" t="inlineStr">
        <is>
          <t>digilab/config.py &gt; mult_estagio['adulto'] (estágio do NPC; sem o campo = adulto)</t>
        </is>
      </c>
      <c r="AN6" t="inlineStr">
        <is>
          <t>CONFIG</t>
        </is>
      </c>
      <c r="AO6" s="9">
        <f>AI6*AL6</f>
        <v/>
      </c>
      <c r="AP6" s="9">
        <f>AF6-AO6</f>
        <v/>
      </c>
      <c r="AQ6" t="n">
        <v>0.519</v>
      </c>
      <c r="AR6" s="2" t="inlineStr">
        <is>
          <t>experiments/configs/progressao/validacao_resultado.json &gt; medidas[tier2_sentinela/tier2_carcereiro/tier2_porteiro][adolescente][*]['0'] (média das formas e dos rivais)</t>
        </is>
      </c>
      <c r="AS6" t="inlineStr">
        <is>
          <t>ARTEFATO</t>
        </is>
      </c>
      <c r="AT6" t="n">
        <v>0.88</v>
      </c>
      <c r="AU6" s="2" t="inlineStr">
        <is>
          <t>experiments/configs/progressao/validacao_resultado.json &gt; medidas[...][adolescente][*]['22'] (maior nível ≤ ALCANCE; média das formas e dos rivais)</t>
        </is>
      </c>
      <c r="AV6" t="inlineStr">
        <is>
          <t>ARTEFATO</t>
        </is>
      </c>
      <c r="AW6" t="n">
        <v>0.3</v>
      </c>
      <c r="AX6" s="2" t="inlineStr">
        <is>
          <t>meta desta planilha (TAREFA_PLANILHA_PROGRESSAO B1: ~0,3 sem treino)</t>
        </is>
      </c>
      <c r="AY6" s="10" t="inlineStr">
        <is>
          <t>PROPOSTO</t>
        </is>
      </c>
      <c r="AZ6" t="n">
        <v>0.8</v>
      </c>
      <c r="BA6" s="2" t="inlineStr">
        <is>
          <t>meta desta planilha (B1: ~0,8 com treino típico)</t>
        </is>
      </c>
      <c r="BB6" s="10" t="inlineStr">
        <is>
          <t>PROPOSTO</t>
        </is>
      </c>
      <c r="BC6">
        <f>IF(OR(AQ6="SEM FONTE",AT6="SEM FONTE"),"SEM FONTE",IF(AND(AQ6&lt;=AW6,AT6&gt;=AZ6),"OK",IF(AND(AQ6&lt;=AW6+0.1,AT6&gt;=AZ6-0.1),"PERTO","NAO FECHA")))</f>
        <v/>
      </c>
      <c r="BD6" s="2" t="inlineStr">
        <is>
          <t>um rival pede stats, outro pede estilo</t>
        </is>
      </c>
      <c r="BE6" s="2" t="inlineStr">
        <is>
          <t>a linha que o caráter decidiu e a técnica; fadiga, 'Forçar' e o aviso de sobrecarga</t>
        </is>
      </c>
      <c r="BF6" s="2" t="inlineStr">
        <is>
          <t>revelação do Champion mostra o eixo que decidiu; na fadiga 40 o pet pede pausa (Bit explica uma vez); no primeiro Forçar, a folha com o custo</t>
        </is>
      </c>
      <c r="BG6" s="2" t="inlineStr">
        <is>
          <t>leu o porquê da linha; atendeu uma pausa (ou forçou sabendo o custo)</t>
        </is>
      </c>
    </row>
    <row r="7">
      <c r="A7" s="2" t="inlineStr">
        <is>
          <t>Fim do Champion (adolescente)</t>
        </is>
      </c>
      <c r="B7" s="2" t="inlineStr">
        <is>
          <t>adolescente</t>
        </is>
      </c>
      <c r="C7" t="n">
        <v>1980</v>
      </c>
      <c r="D7" s="2" t="inlineStr">
        <is>
          <t>digilab/config.py &gt; soma das durações (+ 10 lutas de treino)</t>
        </is>
      </c>
      <c r="E7" t="inlineStr">
        <is>
          <t>CONFIG</t>
        </is>
      </c>
      <c r="F7" s="9">
        <f>C7/60</f>
        <v/>
      </c>
      <c r="G7" t="n">
        <v>33.3</v>
      </c>
      <c r="H7" s="2" t="inlineStr">
        <is>
          <t>artifacts_treino/vidas/atencioso@*.jsonl: eventos acao_usuario com tick &lt; 1980 (média de 10 ovos)</t>
        </is>
      </c>
      <c r="I7" t="inlineStr">
        <is>
          <t>ARTEFATO</t>
        </is>
      </c>
      <c r="J7" t="n">
        <v>31.9</v>
      </c>
      <c r="K7" s="2" t="inlineStr">
        <is>
          <t>artifacts_treino/vidas/aleatorio@*.jsonl: eventos acao_usuario com tick &lt; 1980 (média de 10 ovos)</t>
        </is>
      </c>
      <c r="L7" t="inlineStr">
        <is>
          <t>ARTEFATO</t>
        </is>
      </c>
      <c r="M7" t="n">
        <v>35.8</v>
      </c>
      <c r="N7" s="2" t="inlineStr">
        <is>
          <t>artifacts_treino/vidas/exigente@*.jsonl: eventos acao_usuario com tick &lt; 1980 (média de 10 ovos)</t>
        </is>
      </c>
      <c r="O7" t="inlineStr">
        <is>
          <t>ARTEFATO</t>
        </is>
      </c>
      <c r="P7" s="2" t="inlineStr">
        <is>
          <t>—</t>
        </is>
      </c>
      <c r="S7" s="2" t="inlineStr">
        <is>
          <t>—</t>
        </is>
      </c>
      <c r="V7" t="n">
        <v>3</v>
      </c>
      <c r="W7" s="2" t="inlineStr">
        <is>
          <t>digilab/config.py &gt; ConfigTreino.peso_ponto_combate</t>
        </is>
      </c>
      <c r="X7" t="inlineStr">
        <is>
          <t>CONFIG</t>
        </is>
      </c>
      <c r="Y7" t="n">
        <v>60</v>
      </c>
      <c r="Z7" s="2" t="inlineStr">
        <is>
          <t>digilab/config.py &gt; ConfigCatalogo.orcamento_especie (soma zero dos modificadores)</t>
        </is>
      </c>
      <c r="AA7" t="inlineStr">
        <is>
          <t>CONFIG</t>
        </is>
      </c>
      <c r="AB7" t="n">
        <v>0.8</v>
      </c>
      <c r="AC7" s="2" t="inlineStr">
        <is>
          <t>digilab/config.py &gt; ConfigCatalogo.mult_estagio['adolescente']</t>
        </is>
      </c>
      <c r="AD7" t="inlineStr">
        <is>
          <t>CONFIG</t>
        </is>
      </c>
      <c r="AE7" s="9">
        <f>Y7*AB7</f>
        <v/>
      </c>
      <c r="AF7" s="2" t="inlineStr">
        <is>
          <t>—</t>
        </is>
      </c>
      <c r="AG7" s="2" t="inlineStr">
        <is>
          <t>forma adulta + passiva</t>
        </is>
      </c>
      <c r="AH7" s="2" t="inlineStr">
        <is>
          <t>—</t>
        </is>
      </c>
      <c r="BD7" s="2" t="inlineStr">
        <is>
          <t>a forma final veio do caráter e do treino</t>
        </is>
      </c>
      <c r="BE7" s="2" t="inlineStr">
        <is>
          <t>travar/vetar regras de combate; as 10 lutas de treino</t>
        </is>
      </c>
      <c r="BF7" s="2" t="inlineStr">
        <is>
          <t>depois da primeira luta, o Resultado mostra a regra nova com Travar/Vetar; o contador 'x de 10' aparece no topo</t>
        </is>
      </c>
      <c r="BG7" s="2" t="inlineStr">
        <is>
          <t>travou ou vetou uma regra; completou as 10 lutas</t>
        </is>
      </c>
    </row>
    <row r="8">
      <c r="A8" s="2" t="inlineStr">
        <is>
          <t>Ultimate/Mega: Cidadela</t>
        </is>
      </c>
      <c r="B8" s="2" t="inlineStr">
        <is>
          <t>adulto</t>
        </is>
      </c>
      <c r="C8" t="n">
        <v>1980</v>
      </c>
      <c r="D8" s="2" t="inlineStr">
        <is>
          <t>digilab/config.py &gt; soma das durações</t>
        </is>
      </c>
      <c r="E8" t="inlineStr">
        <is>
          <t>CONFIG</t>
        </is>
      </c>
      <c r="F8" s="9">
        <f>C8/60</f>
        <v/>
      </c>
      <c r="G8" t="n">
        <v>33.3</v>
      </c>
      <c r="H8" s="2" t="inlineStr">
        <is>
          <t>artifacts_treino/vidas/atencioso@*.jsonl: eventos acao_usuario com tick &lt; 1980 (média de 10 ovos)</t>
        </is>
      </c>
      <c r="I8" t="inlineStr">
        <is>
          <t>ARTEFATO</t>
        </is>
      </c>
      <c r="J8" t="n">
        <v>31.9</v>
      </c>
      <c r="K8" s="2" t="inlineStr">
        <is>
          <t>artifacts_treino/vidas/aleatorio@*.jsonl: eventos acao_usuario com tick &lt; 1980 (média de 10 ovos)</t>
        </is>
      </c>
      <c r="L8" t="inlineStr">
        <is>
          <t>ARTEFATO</t>
        </is>
      </c>
      <c r="M8" t="n">
        <v>35.8</v>
      </c>
      <c r="N8" s="2" t="inlineStr">
        <is>
          <t>artifacts_treino/vidas/exigente@*.jsonl: eventos acao_usuario com tick &lt; 1980 (média de 10 ovos)</t>
        </is>
      </c>
      <c r="O8" t="inlineStr">
        <is>
          <t>ARTEFATO</t>
        </is>
      </c>
      <c r="P8" t="n">
        <v>36</v>
      </c>
      <c r="Q8" s="2" t="inlineStr">
        <is>
          <t>experiments/calibrar_progressao.py &gt; ALCANCE['tier3']['adulto']</t>
        </is>
      </c>
      <c r="R8" t="inlineStr">
        <is>
          <t>CONFIG</t>
        </is>
      </c>
      <c r="S8" s="2" t="inlineStr">
        <is>
          <t>—</t>
        </is>
      </c>
      <c r="V8" t="n">
        <v>3</v>
      </c>
      <c r="W8" s="2" t="inlineStr">
        <is>
          <t>digilab/config.py &gt; ConfigTreino.peso_ponto_combate</t>
        </is>
      </c>
      <c r="X8" t="inlineStr">
        <is>
          <t>CONFIG</t>
        </is>
      </c>
      <c r="Y8" t="n">
        <v>60</v>
      </c>
      <c r="Z8" s="2" t="inlineStr">
        <is>
          <t>digilab/config.py &gt; ConfigCatalogo.orcamento_especie (soma zero dos modificadores)</t>
        </is>
      </c>
      <c r="AA8" t="inlineStr">
        <is>
          <t>CONFIG</t>
        </is>
      </c>
      <c r="AB8" t="n">
        <v>1</v>
      </c>
      <c r="AC8" s="2" t="inlineStr">
        <is>
          <t>digilab/config.py &gt; ConfigCatalogo.mult_estagio['adulto']</t>
        </is>
      </c>
      <c r="AD8" t="inlineStr">
        <is>
          <t>CONFIG</t>
        </is>
      </c>
      <c r="AE8" s="9">
        <f>Y8*AB8</f>
        <v/>
      </c>
      <c r="AF8" s="9">
        <f>(Y8+V8*P8)*AB8</f>
        <v/>
      </c>
      <c r="AG8" s="2" t="inlineStr">
        <is>
          <t>chefe; arena</t>
        </is>
      </c>
      <c r="AH8" s="2" t="inlineStr">
        <is>
          <t>Soberano</t>
        </is>
      </c>
      <c r="AI8" t="n">
        <v>110</v>
      </c>
      <c r="AJ8" s="2" t="inlineStr">
        <is>
          <t>digilab/config.py &gt; ConfigCampanha.npcs[tier3_soberano].total_stats</t>
        </is>
      </c>
      <c r="AK8" t="inlineStr">
        <is>
          <t>CONFIG</t>
        </is>
      </c>
      <c r="AL8" t="n">
        <v>1</v>
      </c>
      <c r="AM8" s="2" t="inlineStr">
        <is>
          <t>digilab/config.py &gt; mult_estagio['adulto'] (estágio do NPC; sem o campo = adulto)</t>
        </is>
      </c>
      <c r="AN8" t="inlineStr">
        <is>
          <t>CONFIG</t>
        </is>
      </c>
      <c r="AO8" s="9">
        <f>AI8*AL8</f>
        <v/>
      </c>
      <c r="AP8" s="9">
        <f>AF8-AO8</f>
        <v/>
      </c>
      <c r="AQ8" t="n">
        <v>0.523</v>
      </c>
      <c r="AR8" s="2" t="inlineStr">
        <is>
          <t>experiments/configs/progressao/validacao_resultado.json &gt; medidas[tier3_soberano][adulto][*]['0'] (média das formas)</t>
        </is>
      </c>
      <c r="AS8" t="inlineStr">
        <is>
          <t>ARTEFATO</t>
        </is>
      </c>
      <c r="AT8" t="n">
        <v>0.972</v>
      </c>
      <c r="AU8" s="2" t="inlineStr">
        <is>
          <t>experiments/configs/progressao/validacao_resultado.json &gt; medidas[...][adulto][*]['36'] (maior nível ≤ ALCANCE; média das formas)</t>
        </is>
      </c>
      <c r="AV8" t="inlineStr">
        <is>
          <t>ARTEFATO</t>
        </is>
      </c>
      <c r="AW8" t="n">
        <v>0.3</v>
      </c>
      <c r="AX8" s="2" t="inlineStr">
        <is>
          <t>meta desta planilha (TAREFA_PLANILHA_PROGRESSAO B1: ~0,3 sem treino)</t>
        </is>
      </c>
      <c r="AY8" s="10" t="inlineStr">
        <is>
          <t>PROPOSTO</t>
        </is>
      </c>
      <c r="AZ8" t="n">
        <v>0.8</v>
      </c>
      <c r="BA8" s="2" t="inlineStr">
        <is>
          <t>meta desta planilha (B1: ~0,8 com treino típico)</t>
        </is>
      </c>
      <c r="BB8" s="10" t="inlineStr">
        <is>
          <t>PROPOSTO</t>
        </is>
      </c>
      <c r="BC8">
        <f>IF(OR(AQ8="SEM FONTE",AT8="SEM FONTE"),"SEM FONTE",IF(AND(AQ8&lt;=AW8,AT8&gt;=AZ8),"OK",IF(AND(AQ8&lt;=AW8+0.1,AT8&gt;=AZ8-0.1),"PERTO","NAO FECHA")))</f>
        <v/>
      </c>
      <c r="BD8" s="2" t="inlineStr">
        <is>
          <t>o chefe exige tudo o que aprendi</t>
        </is>
      </c>
      <c r="BE8" s="2" t="inlineStr">
        <is>
          <t>forma final e passiva; a arena contra outros pets</t>
        </is>
      </c>
      <c r="BF8" s="2" t="inlineStr">
        <is>
          <t>o próprio pet explica a passiva na revelação (a partir do adulto ele fala)</t>
        </is>
      </c>
      <c r="BG8" s="2" t="inlineStr">
        <is>
          <t>desafiou o chefe</t>
        </is>
      </c>
    </row>
    <row r="9">
      <c r="A9" s="2" t="inlineStr">
        <is>
          <t>Fim da vida simulada (endgame)</t>
        </is>
      </c>
      <c r="B9" s="2" t="inlineStr">
        <is>
          <t>adulto</t>
        </is>
      </c>
      <c r="C9" t="n">
        <v>20160</v>
      </c>
      <c r="D9" s="2" t="inlineStr">
        <is>
          <t>artifacts_treino/resumo.json &gt; dias (14) × 1440</t>
        </is>
      </c>
      <c r="E9" t="inlineStr">
        <is>
          <t>ARTEFATO</t>
        </is>
      </c>
      <c r="F9" s="9">
        <f>C9/60</f>
        <v/>
      </c>
      <c r="G9" t="n">
        <v>298</v>
      </c>
      <c r="H9" s="2" t="inlineStr">
        <is>
          <t>artifacts_treino/vidas/atencioso@*.jsonl: eventos acao_usuario com tick &lt; 20160 (média de 10 ovos)</t>
        </is>
      </c>
      <c r="I9" t="inlineStr">
        <is>
          <t>ARTEFATO</t>
        </is>
      </c>
      <c r="J9" t="n">
        <v>298</v>
      </c>
      <c r="K9" s="2" t="inlineStr">
        <is>
          <t>artifacts_treino/vidas/aleatorio@*.jsonl: eventos acao_usuario com tick &lt; 20160 (média de 10 ovos)</t>
        </is>
      </c>
      <c r="L9" t="inlineStr">
        <is>
          <t>ARTEFATO</t>
        </is>
      </c>
      <c r="M9" t="n">
        <v>298</v>
      </c>
      <c r="N9" s="2" t="inlineStr">
        <is>
          <t>artifacts_treino/vidas/exigente@*.jsonl: eventos acao_usuario com tick &lt; 20160 (média de 10 ovos)</t>
        </is>
      </c>
      <c r="O9" t="inlineStr">
        <is>
          <t>ARTEFATO</t>
        </is>
      </c>
      <c r="P9" s="2" t="inlineStr">
        <is>
          <t>—</t>
        </is>
      </c>
      <c r="S9" t="n">
        <v>28.26</v>
      </c>
      <c r="T9" s="2" t="inlineStr">
        <is>
          <t>artifacts_treino/resumo.json &gt; por_braco.atencioso.treino_total.media</t>
        </is>
      </c>
      <c r="U9" t="inlineStr">
        <is>
          <t>ARTEFATO</t>
        </is>
      </c>
      <c r="V9" t="n">
        <v>3</v>
      </c>
      <c r="W9" s="2" t="inlineStr">
        <is>
          <t>digilab/config.py &gt; ConfigTreino.peso_ponto_combate</t>
        </is>
      </c>
      <c r="X9" t="inlineStr">
        <is>
          <t>CONFIG</t>
        </is>
      </c>
      <c r="Y9" t="n">
        <v>60</v>
      </c>
      <c r="Z9" s="2" t="inlineStr">
        <is>
          <t>digilab/config.py &gt; ConfigCatalogo.orcamento_especie (soma zero dos modificadores)</t>
        </is>
      </c>
      <c r="AA9" t="inlineStr">
        <is>
          <t>CONFIG</t>
        </is>
      </c>
      <c r="AB9" t="n">
        <v>1</v>
      </c>
      <c r="AC9" s="2" t="inlineStr">
        <is>
          <t>digilab/config.py &gt; ConfigCatalogo.mult_estagio['adulto']</t>
        </is>
      </c>
      <c r="AD9" t="inlineStr">
        <is>
          <t>CONFIG</t>
        </is>
      </c>
      <c r="AE9" s="9">
        <f>Y9*AB9</f>
        <v/>
      </c>
      <c r="AF9" s="2" t="inlineStr">
        <is>
          <t>—</t>
        </is>
      </c>
      <c r="AG9" s="2" t="inlineStr">
        <is>
          <t>arena, Melhor de 10, cenários</t>
        </is>
      </c>
      <c r="AH9" s="2" t="inlineStr">
        <is>
          <t>—</t>
        </is>
      </c>
      <c r="BD9" s="2" t="inlineStr">
        <is>
          <t>meu pet é o meu, diferente dos outros</t>
        </is>
      </c>
      <c r="BE9" s="2" t="inlineStr">
        <is>
          <t>o que fazer depois: arena, Melhor de 10, cenários; um novo ovo</t>
        </is>
      </c>
      <c r="BF9" s="2" t="inlineStr">
        <is>
          <t>o pet sugere o que falta (formas vistas no Catálogo, chefe não vencido)</t>
        </is>
      </c>
      <c r="BG9" s="2" t="inlineStr">
        <is>
          <t>voltou ao jogo depois de vencer o chefe</t>
        </is>
      </c>
    </row>
  </sheetData>
  <conditionalFormatting sqref="BC2:BC9">
    <cfRule type="expression" priority="1" dxfId="0">
      <formula>BC2="OK"</formula>
    </cfRule>
    <cfRule type="expression" priority="2" dxfId="1">
      <formula>BC2="PERTO"</formula>
    </cfRule>
    <cfRule type="expression" priority="3" dxfId="2">
      <formula>BC2="NAO FECHA"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30" customWidth="1" min="32" max="32"/>
    <col width="16" customWidth="1" min="33" max="33"/>
    <col width="40" customWidth="1" min="34" max="34"/>
    <col width="32" customWidth="1" min="35" max="35"/>
    <col width="34" customWidth="1" min="36" max="36"/>
    <col width="30" customWidth="1" min="37" max="37"/>
    <col width="36" customWidth="1" min="38" max="38"/>
  </cols>
  <sheetData>
    <row r="1">
      <c r="A1" s="8" t="inlineStr">
        <is>
          <t>estágio</t>
        </is>
      </c>
      <c r="B1" s="8" t="inlineStr">
        <is>
          <t>duração (min)</t>
        </is>
      </c>
      <c r="C1" s="8" t="inlineStr">
        <is>
          <t>fonte</t>
        </is>
      </c>
      <c r="D1" s="8" t="inlineStr">
        <is>
          <t>status</t>
        </is>
      </c>
      <c r="E1" s="8" t="inlineStr">
        <is>
          <t>intervalo fome (min)</t>
        </is>
      </c>
      <c r="F1" s="8" t="inlineStr">
        <is>
          <t>fonte</t>
        </is>
      </c>
      <c r="G1" s="8" t="inlineStr">
        <is>
          <t>status</t>
        </is>
      </c>
      <c r="H1" s="8" t="inlineStr">
        <is>
          <t>intervalo higiene (min)</t>
        </is>
      </c>
      <c r="I1" s="8" t="inlineStr">
        <is>
          <t>fonte</t>
        </is>
      </c>
      <c r="J1" s="8" t="inlineStr">
        <is>
          <t>status</t>
        </is>
      </c>
      <c r="K1" s="8" t="inlineStr">
        <is>
          <t>intervalo carinho (min)</t>
        </is>
      </c>
      <c r="L1" s="8" t="inlineStr">
        <is>
          <t>fonte</t>
        </is>
      </c>
      <c r="M1" s="8" t="inlineStr">
        <is>
          <t>status</t>
        </is>
      </c>
      <c r="N1" s="8" t="inlineStr">
        <is>
          <t>janela de chamado (min)</t>
        </is>
      </c>
      <c r="O1" s="8" t="inlineStr">
        <is>
          <t>fonte</t>
        </is>
      </c>
      <c r="P1" s="8" t="inlineStr">
        <is>
          <t>status</t>
        </is>
      </c>
      <c r="Q1" s="8" t="inlineStr">
        <is>
          <t>sessões de treino/dia (alvo)</t>
        </is>
      </c>
      <c r="R1" s="8" t="inlineStr">
        <is>
          <t>fonte</t>
        </is>
      </c>
      <c r="S1" s="8" t="inlineStr">
        <is>
          <t>status</t>
        </is>
      </c>
      <c r="T1" s="8" t="inlineStr">
        <is>
          <t>teto de sessões/dia</t>
        </is>
      </c>
      <c r="U1" s="8" t="inlineStr">
        <is>
          <t>fonte</t>
        </is>
      </c>
      <c r="V1" s="8" t="inlineStr">
        <is>
          <t>status</t>
        </is>
      </c>
      <c r="W1" s="8" t="inlineStr">
        <is>
          <t>teto de pontos no estágio</t>
        </is>
      </c>
      <c r="X1" s="8" t="inlineStr">
        <is>
          <t>fonte</t>
        </is>
      </c>
      <c r="Y1" s="8" t="inlineStr">
        <is>
          <t>status</t>
        </is>
      </c>
      <c r="Z1" s="8" t="inlineStr">
        <is>
          <t>regras de combate</t>
        </is>
      </c>
      <c r="AA1" s="8" t="inlineStr">
        <is>
          <t>fonte</t>
        </is>
      </c>
      <c r="AB1" s="8" t="inlineStr">
        <is>
          <t>status</t>
        </is>
      </c>
      <c r="AC1" s="8" t="inlineStr">
        <is>
          <t>mult. de estágio (vida e guts)</t>
        </is>
      </c>
      <c r="AD1" s="8" t="inlineStr">
        <is>
          <t>fonte</t>
        </is>
      </c>
      <c r="AE1" s="8" t="inlineStr">
        <is>
          <t>status</t>
        </is>
      </c>
      <c r="AF1" s="8" t="inlineStr">
        <is>
          <t>moeda do estágio</t>
        </is>
      </c>
      <c r="AG1" s="8" t="inlineStr">
        <is>
          <t>contadores zeram na evolução?</t>
        </is>
      </c>
      <c r="AH1" s="8" t="inlineStr">
        <is>
          <t>limiares</t>
        </is>
      </c>
      <c r="AI1" s="8" t="inlineStr">
        <is>
          <t>forma resultante</t>
        </is>
      </c>
      <c r="AJ1" s="8" t="inlineStr">
        <is>
          <t>forma de fracasso</t>
        </is>
      </c>
      <c r="AK1" s="8" t="inlineStr">
        <is>
          <t>rota alternativa</t>
        </is>
      </c>
      <c r="AL1" s="8" t="inlineStr">
        <is>
          <t>quem usa os intervalos</t>
        </is>
      </c>
    </row>
    <row r="2">
      <c r="A2" s="2" t="inlineStr">
        <is>
          <t>bebe</t>
        </is>
      </c>
      <c r="B2" t="n">
        <v>180</v>
      </c>
      <c r="C2" s="2" t="inlineStr">
        <is>
          <t>digilab/config.py &gt; ConfigEvolucaoPesquisa.dur_bebe_min</t>
        </is>
      </c>
      <c r="D2" t="inlineStr">
        <is>
          <t>CONFIG</t>
        </is>
      </c>
      <c r="E2" t="n">
        <v>30</v>
      </c>
      <c r="F2" s="2" t="inlineStr">
        <is>
          <t>digilab/config.py &gt; ConfigEvolucaoPesquisa.chamados_bebe_min['fome']</t>
        </is>
      </c>
      <c r="G2" t="inlineStr">
        <is>
          <t>CONFIG</t>
        </is>
      </c>
      <c r="H2" t="n">
        <v>60</v>
      </c>
      <c r="I2" s="2" t="inlineStr">
        <is>
          <t>digilab/config.py &gt; ConfigEvolucaoPesquisa.chamados_bebe_min['higiene']</t>
        </is>
      </c>
      <c r="J2" t="inlineStr">
        <is>
          <t>CONFIG</t>
        </is>
      </c>
      <c r="K2" t="n">
        <v>45</v>
      </c>
      <c r="L2" s="2" t="inlineStr">
        <is>
          <t>digilab/config.py &gt; ConfigEvolucaoPesquisa.chamados_bebe_min['carinho']</t>
        </is>
      </c>
      <c r="M2" t="inlineStr">
        <is>
          <t>CONFIG</t>
        </is>
      </c>
      <c r="N2" t="n">
        <v>15</v>
      </c>
      <c r="O2" s="2" t="inlineStr">
        <is>
          <t>digilab/config.py &gt; ConfigEvolucaoPesquisa.janela_chamado_min</t>
        </is>
      </c>
      <c r="P2" t="inlineStr">
        <is>
          <t>CONFIG</t>
        </is>
      </c>
      <c r="Q2" s="2" t="inlineStr">
        <is>
          <t>não treina</t>
        </is>
      </c>
      <c r="T2" s="2" t="inlineStr">
        <is>
          <t>—</t>
        </is>
      </c>
      <c r="W2" s="2" t="inlineStr">
        <is>
          <t>—</t>
        </is>
      </c>
      <c r="Z2" t="n">
        <v>0</v>
      </c>
      <c r="AA2" s="2" t="inlineStr">
        <is>
          <t>docs/arvore_evolucao.json &gt; capacidade_por_estagio.bebe (não luta)</t>
        </is>
      </c>
      <c r="AB2" t="inlineStr">
        <is>
          <t>CONFIG</t>
        </is>
      </c>
      <c r="AC2" t="n">
        <v>0.4</v>
      </c>
      <c r="AD2" s="2" t="inlineStr">
        <is>
          <t>digilab/config.py &gt; ConfigCatalogo.mult_estagio['bebe']</t>
        </is>
      </c>
      <c r="AE2" t="inlineStr">
        <is>
          <t>CONFIG</t>
        </is>
      </c>
      <c r="AF2" s="2" t="inlineStr">
        <is>
          <t>cuidado (fração de janelas atendidas)</t>
        </is>
      </c>
      <c r="AG2" s="2" t="inlineStr">
        <is>
          <t>sim</t>
        </is>
      </c>
      <c r="AH2" s="2" t="inlineStr">
        <is>
          <t>cuidado ≥ 0.8 → sereno</t>
        </is>
      </c>
      <c r="AI2" s="2" t="inlineStr">
        <is>
          <t>Rookie sereno</t>
        </is>
      </c>
      <c r="AJ2" s="2" t="inlineStr">
        <is>
          <t>Rookie arisco (não é fim: é outra forma)</t>
        </is>
      </c>
      <c r="AK2" s="2" t="inlineStr">
        <is>
          <t>falta (o cuidado do bebê decide uma vez)</t>
        </is>
      </c>
      <c r="AL2" s="2" t="inlineStr">
        <is>
          <t>Python e web: só os chamados do bebê</t>
        </is>
      </c>
    </row>
    <row r="3">
      <c r="A3" s="2" t="inlineStr">
        <is>
          <t>crianca</t>
        </is>
      </c>
      <c r="B3" t="n">
        <v>720</v>
      </c>
      <c r="C3" s="2" t="inlineStr">
        <is>
          <t>digilab/config.py &gt; ConfigEvolucaoPesquisa.dur_crianca_min</t>
        </is>
      </c>
      <c r="D3" t="inlineStr">
        <is>
          <t>CONFIG</t>
        </is>
      </c>
      <c r="E3" t="n">
        <v>90</v>
      </c>
      <c r="F3" s="2" t="inlineStr">
        <is>
          <t>docs/cronograma_interacoes.json &gt; estagios.crianca.intervalos_min.fome (nenhum código usa)</t>
        </is>
      </c>
      <c r="G3" t="inlineStr">
        <is>
          <t>CONFIG</t>
        </is>
      </c>
      <c r="H3" t="n">
        <v>120</v>
      </c>
      <c r="I3" s="2" t="inlineStr">
        <is>
          <t>docs/cronograma_interacoes.json &gt; estagios.crianca.intervalos_min.higiene (nenhum código usa)</t>
        </is>
      </c>
      <c r="J3" t="inlineStr">
        <is>
          <t>CONFIG</t>
        </is>
      </c>
      <c r="K3" t="n">
        <v>90</v>
      </c>
      <c r="L3" s="2" t="inlineStr">
        <is>
          <t>docs/cronograma_interacoes.json &gt; estagios.crianca.intervalos_min.carinho (nenhum código usa)</t>
        </is>
      </c>
      <c r="M3" t="inlineStr">
        <is>
          <t>CONFIG</t>
        </is>
      </c>
      <c r="N3" t="n">
        <v>15</v>
      </c>
      <c r="O3" s="2" t="inlineStr">
        <is>
          <t>digilab/config.py &gt; ConfigEvolucaoPesquisa.janela_chamado_min</t>
        </is>
      </c>
      <c r="P3" t="inlineStr">
        <is>
          <t>CONFIG</t>
        </is>
      </c>
      <c r="Q3" t="n">
        <v>10</v>
      </c>
      <c r="R3" s="2" t="inlineStr">
        <is>
          <t>digilab/config.py &gt; ConfigTreino.sessoes_alvo_dia['crianca']</t>
        </is>
      </c>
      <c r="S3" t="inlineStr">
        <is>
          <t>CONFIG</t>
        </is>
      </c>
      <c r="T3" t="n">
        <v>16</v>
      </c>
      <c r="U3" s="2" t="inlineStr">
        <is>
          <t>digilab/config.py &gt; ConfigTreino.teto_dia['crianca']</t>
        </is>
      </c>
      <c r="V3" t="inlineStr">
        <is>
          <t>CONFIG</t>
        </is>
      </c>
      <c r="W3" t="n">
        <v>10</v>
      </c>
      <c r="X3" s="2" t="inlineStr">
        <is>
          <t>digilab/config.py &gt; ConfigTreino.teto_por_estagio['crianca']</t>
        </is>
      </c>
      <c r="Y3" t="inlineStr">
        <is>
          <t>CONFIG</t>
        </is>
      </c>
      <c r="Z3" t="n">
        <v>3</v>
      </c>
      <c r="AA3" s="2" t="inlineStr">
        <is>
          <t>digilab/config.py &gt; ConfigCombateV21.max_regras_crianca</t>
        </is>
      </c>
      <c r="AB3" t="inlineStr">
        <is>
          <t>CONFIG</t>
        </is>
      </c>
      <c r="AC3" t="n">
        <v>0.6</v>
      </c>
      <c r="AD3" s="2" t="inlineStr">
        <is>
          <t>digilab/config.py &gt; ConfigCatalogo.mult_estagio['crianca']</t>
        </is>
      </c>
      <c r="AE3" t="inlineStr">
        <is>
          <t>CONFIG</t>
        </is>
      </c>
      <c r="AF3" s="2" t="inlineStr">
        <is>
          <t>caráter dominante</t>
        </is>
      </c>
      <c r="AG3" s="2" t="inlineStr">
        <is>
          <t>sim</t>
        </is>
      </c>
      <c r="AH3" s="2" t="inlineStr">
        <is>
          <t>eixo de caráter de maior valor</t>
        </is>
      </c>
      <c r="AI3" s="2" t="inlineStr">
        <is>
          <t>Champion da linha (brigão, guardião, caçador, colosso)</t>
        </is>
      </c>
      <c r="AJ3" s="2" t="inlineStr">
        <is>
          <t>sobrecarga ≥ 30: aviso (fala fria), sem mudar forma</t>
        </is>
      </c>
      <c r="AK3" s="2" t="inlineStr">
        <is>
          <t>falta</t>
        </is>
      </c>
      <c r="AL3" s="2" t="inlineStr">
        <is>
          <t>ninguém (só no JSON)</t>
        </is>
      </c>
    </row>
    <row r="4">
      <c r="A4" s="2" t="inlineStr">
        <is>
          <t>adolescente</t>
        </is>
      </c>
      <c r="B4" t="n">
        <v>1080</v>
      </c>
      <c r="C4" s="2" t="inlineStr">
        <is>
          <t>digilab/config.py &gt; ConfigEvolucaoPesquisa.dur_adolescente_min</t>
        </is>
      </c>
      <c r="D4" t="inlineStr">
        <is>
          <t>CONFIG</t>
        </is>
      </c>
      <c r="E4" t="n">
        <v>150</v>
      </c>
      <c r="F4" s="2" t="inlineStr">
        <is>
          <t>docs/cronograma_interacoes.json &gt; estagios.adolescente.intervalos_min.fome (nenhum código usa)</t>
        </is>
      </c>
      <c r="G4" t="inlineStr">
        <is>
          <t>CONFIG</t>
        </is>
      </c>
      <c r="H4" t="n">
        <v>120</v>
      </c>
      <c r="I4" s="2" t="inlineStr">
        <is>
          <t>docs/cronograma_interacoes.json &gt; estagios.adolescente.intervalos_min.higiene (nenhum código usa)</t>
        </is>
      </c>
      <c r="J4" t="inlineStr">
        <is>
          <t>CONFIG</t>
        </is>
      </c>
      <c r="K4" t="n">
        <v>120</v>
      </c>
      <c r="L4" s="2" t="inlineStr">
        <is>
          <t>docs/cronograma_interacoes.json &gt; estagios.adolescente.intervalos_min.carinho (nenhum código usa)</t>
        </is>
      </c>
      <c r="M4" t="inlineStr">
        <is>
          <t>CONFIG</t>
        </is>
      </c>
      <c r="N4" t="n">
        <v>15</v>
      </c>
      <c r="O4" s="2" t="inlineStr">
        <is>
          <t>digilab/config.py &gt; ConfigEvolucaoPesquisa.janela_chamado_min</t>
        </is>
      </c>
      <c r="P4" t="inlineStr">
        <is>
          <t>CONFIG</t>
        </is>
      </c>
      <c r="Q4" t="n">
        <v>8</v>
      </c>
      <c r="R4" s="2" t="inlineStr">
        <is>
          <t>digilab/config.py &gt; ConfigTreino.sessoes_alvo_dia['adolescente']</t>
        </is>
      </c>
      <c r="S4" t="inlineStr">
        <is>
          <t>CONFIG</t>
        </is>
      </c>
      <c r="T4" t="n">
        <v>12</v>
      </c>
      <c r="U4" s="2" t="inlineStr">
        <is>
          <t>digilab/config.py &gt; ConfigTreino.teto_dia['adolescente']</t>
        </is>
      </c>
      <c r="V4" t="inlineStr">
        <is>
          <t>CONFIG</t>
        </is>
      </c>
      <c r="W4" t="n">
        <v>12</v>
      </c>
      <c r="X4" s="2" t="inlineStr">
        <is>
          <t>digilab/config.py &gt; ConfigTreino.teto_por_estagio['adolescente']</t>
        </is>
      </c>
      <c r="Y4" t="inlineStr">
        <is>
          <t>CONFIG</t>
        </is>
      </c>
      <c r="Z4" t="n">
        <v>5</v>
      </c>
      <c r="AA4" s="2" t="inlineStr">
        <is>
          <t>digilab/config.py &gt; ConfigCombateV21.max_regras_adolescente</t>
        </is>
      </c>
      <c r="AB4" t="inlineStr">
        <is>
          <t>CONFIG</t>
        </is>
      </c>
      <c r="AC4" t="n">
        <v>0.8</v>
      </c>
      <c r="AD4" s="2" t="inlineStr">
        <is>
          <t>digilab/config.py &gt; ConfigCatalogo.mult_estagio['adolescente']</t>
        </is>
      </c>
      <c r="AE4" t="inlineStr">
        <is>
          <t>CONFIG</t>
        </is>
      </c>
      <c r="AF4" s="2" t="inlineStr">
        <is>
          <t>caráter complementar + 10 lutas de treino</t>
        </is>
      </c>
      <c r="AG4" s="2" t="inlineStr">
        <is>
          <t>sim</t>
        </is>
      </c>
      <c r="AH4" s="2" t="inlineStr">
        <is>
          <t>sinal do eixo complementar; 10 lutas; sobrecarga ≥ 60 → sombria</t>
        </is>
      </c>
      <c r="AI4" s="2" t="inlineStr">
        <is>
          <t>Ultimate/Mega (2 por linha)</t>
        </is>
      </c>
      <c r="AJ4" s="2" t="inlineStr">
        <is>
          <t>forma sombria da linha (forçar demais); sem 10 lutas, não evolui</t>
        </is>
      </c>
      <c r="AK4" s="2" t="inlineStr">
        <is>
          <t>falta (desempate por peso: cuidado_corporal.json não existe)</t>
        </is>
      </c>
      <c r="AL4" s="2" t="inlineStr">
        <is>
          <t>ninguém (só no JSON)</t>
        </is>
      </c>
    </row>
    <row r="5">
      <c r="A5" s="2" t="inlineStr">
        <is>
          <t>adulto</t>
        </is>
      </c>
      <c r="B5" s="2" t="inlineStr">
        <is>
          <t>sem fim</t>
        </is>
      </c>
      <c r="E5" t="n">
        <v>180</v>
      </c>
      <c r="F5" s="2" t="inlineStr">
        <is>
          <t>docs/cronograma_interacoes.json &gt; estagios.adulto.intervalos_min.fome (nenhum código usa)</t>
        </is>
      </c>
      <c r="G5" t="inlineStr">
        <is>
          <t>CONFIG</t>
        </is>
      </c>
      <c r="H5" t="n">
        <v>120</v>
      </c>
      <c r="I5" s="2" t="inlineStr">
        <is>
          <t>docs/cronograma_interacoes.json &gt; estagios.adulto.intervalos_min.higiene (nenhum código usa)</t>
        </is>
      </c>
      <c r="J5" t="inlineStr">
        <is>
          <t>CONFIG</t>
        </is>
      </c>
      <c r="K5" t="n">
        <v>180</v>
      </c>
      <c r="L5" s="2" t="inlineStr">
        <is>
          <t>docs/cronograma_interacoes.json &gt; estagios.adulto.intervalos_min.carinho (nenhum código usa)</t>
        </is>
      </c>
      <c r="M5" t="inlineStr">
        <is>
          <t>CONFIG</t>
        </is>
      </c>
      <c r="N5" t="n">
        <v>15</v>
      </c>
      <c r="O5" s="2" t="inlineStr">
        <is>
          <t>digilab/config.py &gt; ConfigEvolucaoPesquisa.janela_chamado_min</t>
        </is>
      </c>
      <c r="P5" t="inlineStr">
        <is>
          <t>CONFIG</t>
        </is>
      </c>
      <c r="Q5" t="n">
        <v>5</v>
      </c>
      <c r="R5" s="2" t="inlineStr">
        <is>
          <t>digilab/config.py &gt; ConfigTreino.sessoes_alvo_dia['adulto']</t>
        </is>
      </c>
      <c r="S5" t="inlineStr">
        <is>
          <t>CONFIG</t>
        </is>
      </c>
      <c r="T5" t="n">
        <v>8</v>
      </c>
      <c r="U5" s="2" t="inlineStr">
        <is>
          <t>digilab/config.py &gt; ConfigTreino.teto_dia['adulto']</t>
        </is>
      </c>
      <c r="V5" t="inlineStr">
        <is>
          <t>CONFIG</t>
        </is>
      </c>
      <c r="W5" t="n">
        <v>14</v>
      </c>
      <c r="X5" s="2" t="inlineStr">
        <is>
          <t>digilab/config.py &gt; ConfigTreino.teto_por_estagio['adulto']</t>
        </is>
      </c>
      <c r="Y5" t="inlineStr">
        <is>
          <t>CONFIG</t>
        </is>
      </c>
      <c r="Z5" t="n">
        <v>8</v>
      </c>
      <c r="AA5" s="2" t="inlineStr">
        <is>
          <t>digilab/config.py &gt; ConfigCombateV21.max_regras_adulto</t>
        </is>
      </c>
      <c r="AB5" t="inlineStr">
        <is>
          <t>CONFIG</t>
        </is>
      </c>
      <c r="AC5" t="n">
        <v>1</v>
      </c>
      <c r="AD5" s="2" t="inlineStr">
        <is>
          <t>digilab/config.py &gt; ConfigCatalogo.mult_estagio['adulto']</t>
        </is>
      </c>
      <c r="AE5" t="inlineStr">
        <is>
          <t>CONFIG</t>
        </is>
      </c>
      <c r="AF5" s="2" t="inlineStr">
        <is>
          <t>nenhuma (forma final); arena</t>
        </is>
      </c>
      <c r="AG5" s="2" t="inlineStr">
        <is>
          <t>—</t>
        </is>
      </c>
      <c r="AH5" s="2" t="inlineStr">
        <is>
          <t>—</t>
        </is>
      </c>
      <c r="AI5" s="2" t="inlineStr">
        <is>
          <t>—</t>
        </is>
      </c>
      <c r="AJ5" s="2" t="inlineStr">
        <is>
          <t>—</t>
        </is>
      </c>
      <c r="AK5" s="2" t="inlineStr">
        <is>
          <t>—</t>
        </is>
      </c>
      <c r="AL5" s="2" t="inlineStr">
        <is>
          <t>ninguém (só no JSON)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>
      <c r="A1" s="8" t="inlineStr">
        <is>
          <t>portão</t>
        </is>
      </c>
      <c r="B1" s="8" t="inlineStr">
        <is>
          <t>lugar</t>
        </is>
      </c>
      <c r="C1" s="8" t="inlineStr">
        <is>
          <t>estágio sugerido</t>
        </is>
      </c>
      <c r="D1" s="8" t="inlineStr">
        <is>
          <t>estilo</t>
        </is>
      </c>
      <c r="E1" s="8" t="inlineStr">
        <is>
          <t>total de stats</t>
        </is>
      </c>
      <c r="F1" s="8" t="inlineStr">
        <is>
          <t>fonte</t>
        </is>
      </c>
      <c r="G1" s="8" t="inlineStr">
        <is>
          <t>status</t>
        </is>
      </c>
      <c r="H1" s="8" t="inlineStr">
        <is>
          <t>ε (imprevisibilidade)</t>
        </is>
      </c>
      <c r="I1" s="8" t="inlineStr">
        <is>
          <t>fonte</t>
        </is>
      </c>
      <c r="J1" s="8" t="inlineStr">
        <is>
          <t>status</t>
        </is>
      </c>
      <c r="K1" s="8" t="inlineStr">
        <is>
          <t>taxa sem treino (média)</t>
        </is>
      </c>
      <c r="L1" s="8" t="inlineStr">
        <is>
          <t>fonte</t>
        </is>
      </c>
      <c r="M1" s="8" t="inlineStr">
        <is>
          <t>status</t>
        </is>
      </c>
      <c r="N1" s="8" t="inlineStr">
        <is>
          <t>taxa sem treino (melhor forma)</t>
        </is>
      </c>
      <c r="O1" s="8" t="inlineStr">
        <is>
          <t>fonte</t>
        </is>
      </c>
      <c r="P1" s="8" t="inlineStr">
        <is>
          <t>status</t>
        </is>
      </c>
      <c r="Q1" s="8" t="inlineStr">
        <is>
          <t>taxa com treino típico (média)</t>
        </is>
      </c>
      <c r="R1" s="8" t="inlineStr">
        <is>
          <t>fonte</t>
        </is>
      </c>
      <c r="S1" s="8" t="inlineStr">
        <is>
          <t>status</t>
        </is>
      </c>
      <c r="T1" s="8" t="inlineStr">
        <is>
          <t>meta sem treino</t>
        </is>
      </c>
      <c r="U1" s="8" t="inlineStr">
        <is>
          <t>fonte</t>
        </is>
      </c>
      <c r="V1" s="8" t="inlineStr">
        <is>
          <t>status</t>
        </is>
      </c>
      <c r="W1" s="8" t="inlineStr">
        <is>
          <t>meta com treino</t>
        </is>
      </c>
      <c r="X1" s="8" t="inlineStr">
        <is>
          <t>fonte</t>
        </is>
      </c>
      <c r="Y1" s="8" t="inlineStr">
        <is>
          <t>status</t>
        </is>
      </c>
      <c r="Z1" s="8" t="inlineStr">
        <is>
          <t>status</t>
        </is>
      </c>
      <c r="AA1" s="8" t="inlineStr">
        <is>
          <t>ganho do treino (com − sem)</t>
        </is>
      </c>
      <c r="AB1" s="8" t="inlineStr">
        <is>
          <t>campanha: atencioso</t>
        </is>
      </c>
      <c r="AC1" s="8" t="inlineStr">
        <is>
          <t>fonte</t>
        </is>
      </c>
      <c r="AD1" s="8" t="inlineStr">
        <is>
          <t>status</t>
        </is>
      </c>
      <c r="AE1" s="8" t="inlineStr">
        <is>
          <t>campanha: exigente</t>
        </is>
      </c>
      <c r="AF1" s="8" t="inlineStr">
        <is>
          <t>fonte</t>
        </is>
      </c>
      <c r="AG1" s="8" t="inlineStr">
        <is>
          <t>status</t>
        </is>
      </c>
      <c r="AH1" s="8" t="inlineStr">
        <is>
          <t>exigente − atencioso (separa os donos?)</t>
        </is>
      </c>
      <c r="AI1" s="8" t="inlineStr">
        <is>
          <t>nota</t>
        </is>
      </c>
    </row>
    <row r="2">
      <c r="A2" s="2" t="inlineStr">
        <is>
          <t>Brutamontes (Gazimon)</t>
        </is>
      </c>
      <c r="B2" s="2" t="inlineStr">
        <is>
          <t>Campina</t>
        </is>
      </c>
      <c r="C2" s="2" t="inlineStr">
        <is>
          <t>crianca</t>
        </is>
      </c>
      <c r="D2" s="2" t="inlineStr">
        <is>
          <t>crianca:arisco</t>
        </is>
      </c>
      <c r="E2" t="n">
        <v>96</v>
      </c>
      <c r="F2" s="2" t="inlineStr">
        <is>
          <t>digilab/config.py &gt; ConfigCampanha.npcs['tier1_brutamontes'].total_stats</t>
        </is>
      </c>
      <c r="G2" t="inlineStr">
        <is>
          <t>CONFIG</t>
        </is>
      </c>
      <c r="H2" t="n">
        <v>0.5</v>
      </c>
      <c r="I2" s="2" t="inlineStr">
        <is>
          <t>digilab/config.py &gt; ConfigCampanha.npcs['tier1_brutamontes'].epsilon</t>
        </is>
      </c>
      <c r="J2" t="inlineStr">
        <is>
          <t>CONFIG</t>
        </is>
      </c>
      <c r="K2" t="n">
        <v>0.453</v>
      </c>
      <c r="L2" s="2" t="inlineStr">
        <is>
          <t>experiments/configs/progressao/validacao_resultado.json &gt; todos_vencem.tier1_brutamontes.basico_media</t>
        </is>
      </c>
      <c r="M2" t="inlineStr">
        <is>
          <t>ARTEFATO</t>
        </is>
      </c>
      <c r="N2" t="n">
        <v>0.515</v>
      </c>
      <c r="O2" s="2" t="inlineStr">
        <is>
          <t>experiments/configs/progressao/validacao_resultado.json &gt; todos_vencem.tier1_brutamontes.basico_max</t>
        </is>
      </c>
      <c r="P2" t="inlineStr">
        <is>
          <t>ARTEFATO</t>
        </is>
      </c>
      <c r="Q2" t="n">
        <v>0.8090000000000001</v>
      </c>
      <c r="R2" s="2" t="inlineStr">
        <is>
          <t>experiments/configs/progressao/validacao_resultado.json &gt; todos_vencem.tier1_brutamontes.treinado_media</t>
        </is>
      </c>
      <c r="S2" t="inlineStr">
        <is>
          <t>ARTEFATO</t>
        </is>
      </c>
      <c r="T2" t="n">
        <v>0.3</v>
      </c>
      <c r="U2" s="2" t="inlineStr">
        <is>
          <t>meta desta planilha (B1)</t>
        </is>
      </c>
      <c r="V2" s="10" t="inlineStr">
        <is>
          <t>PROPOSTO</t>
        </is>
      </c>
      <c r="W2" t="n">
        <v>0.8</v>
      </c>
      <c r="X2" s="2" t="inlineStr">
        <is>
          <t>meta desta planilha (B1)</t>
        </is>
      </c>
      <c r="Y2" s="10" t="inlineStr">
        <is>
          <t>PROPOSTO</t>
        </is>
      </c>
      <c r="Z2">
        <f>IF(OR(K2="SEM FONTE",Q2="SEM FONTE"),"SEM FONTE",IF(AND(K2&lt;=T2,Q2&gt;=W2),"OK",IF(AND(K2&lt;=T2+0.1,Q2&gt;=W2-0.1),"PERTO","NAO FECHA")))</f>
        <v/>
      </c>
      <c r="AA2" s="11">
        <f>Q2-K2</f>
        <v/>
      </c>
      <c r="AB2" t="n">
        <v>1</v>
      </c>
      <c r="AC2" s="2" t="inlineStr">
        <is>
          <t>artifacts_campanha/treino.json &gt; por_braco.atencioso.tier1_brutamontes.media</t>
        </is>
      </c>
      <c r="AD2" t="inlineStr">
        <is>
          <t>ARTEFATO</t>
        </is>
      </c>
      <c r="AE2" t="n">
        <v>0.996</v>
      </c>
      <c r="AF2" s="2" t="inlineStr">
        <is>
          <t>artifacts_campanha/treino.json &gt; por_braco.exigente.tier1_brutamontes.media</t>
        </is>
      </c>
      <c r="AG2" t="inlineStr">
        <is>
          <t>ARTEFATO</t>
        </is>
      </c>
      <c r="AH2" s="11">
        <f>AE2-AB2</f>
        <v/>
      </c>
      <c r="AI2" s="2" t="inlineStr">
        <is>
          <t>treino típico = ALCANCE do lugar (experiments/calibrar_progressao.py); NPCs imprevisíveis por decisão do Matheus (2026-09-26): todo pet treinado vence, o pet sem treino vence com frequência</t>
        </is>
      </c>
    </row>
    <row r="3">
      <c r="A3" s="2" t="inlineStr">
        <is>
          <t>Sentinela (Tortomon)</t>
        </is>
      </c>
      <c r="B3" s="2" t="inlineStr">
        <is>
          <t>Torre de pedra</t>
        </is>
      </c>
      <c r="C3" s="2" t="inlineStr">
        <is>
          <t>adolescente</t>
        </is>
      </c>
      <c r="D3" s="2" t="inlineStr">
        <is>
          <t>v2c:tartaruga</t>
        </is>
      </c>
      <c r="E3" t="n">
        <v>72</v>
      </c>
      <c r="F3" s="2" t="inlineStr">
        <is>
          <t>digilab/config.py &gt; ConfigCampanha.npcs['tier2_sentinela'].total_stats</t>
        </is>
      </c>
      <c r="G3" t="inlineStr">
        <is>
          <t>CONFIG</t>
        </is>
      </c>
      <c r="H3" t="n">
        <v>0.4</v>
      </c>
      <c r="I3" s="2" t="inlineStr">
        <is>
          <t>digilab/config.py &gt; ConfigCampanha.npcs['tier2_sentinela'].epsilon</t>
        </is>
      </c>
      <c r="J3" t="inlineStr">
        <is>
          <t>CONFIG</t>
        </is>
      </c>
      <c r="K3" t="n">
        <v>0.664</v>
      </c>
      <c r="L3" s="2" t="inlineStr">
        <is>
          <t>experiments/configs/progressao/validacao_resultado.json &gt; todos_vencem.tier2_sentinela.basico_media</t>
        </is>
      </c>
      <c r="M3" t="inlineStr">
        <is>
          <t>ARTEFATO</t>
        </is>
      </c>
      <c r="N3" t="n">
        <v>1</v>
      </c>
      <c r="O3" s="2" t="inlineStr">
        <is>
          <t>experiments/configs/progressao/validacao_resultado.json &gt; todos_vencem.tier2_sentinela.basico_max</t>
        </is>
      </c>
      <c r="P3" t="inlineStr">
        <is>
          <t>ARTEFATO</t>
        </is>
      </c>
      <c r="Q3" t="n">
        <v>0.884</v>
      </c>
      <c r="R3" s="2" t="inlineStr">
        <is>
          <t>experiments/configs/progressao/validacao_resultado.json &gt; todos_vencem.tier2_sentinela.treinado_media</t>
        </is>
      </c>
      <c r="S3" t="inlineStr">
        <is>
          <t>ARTEFATO</t>
        </is>
      </c>
      <c r="T3" t="n">
        <v>0.3</v>
      </c>
      <c r="U3" s="2" t="inlineStr">
        <is>
          <t>meta desta planilha (B1)</t>
        </is>
      </c>
      <c r="V3" s="10" t="inlineStr">
        <is>
          <t>PROPOSTO</t>
        </is>
      </c>
      <c r="W3" t="n">
        <v>0.8</v>
      </c>
      <c r="X3" s="2" t="inlineStr">
        <is>
          <t>meta desta planilha (B1)</t>
        </is>
      </c>
      <c r="Y3" s="10" t="inlineStr">
        <is>
          <t>PROPOSTO</t>
        </is>
      </c>
      <c r="Z3">
        <f>IF(OR(K3="SEM FONTE",Q3="SEM FONTE"),"SEM FONTE",IF(AND(K3&lt;=T3,Q3&gt;=W3),"OK",IF(AND(K3&lt;=T3+0.1,Q3&gt;=W3-0.1),"PERTO","NAO FECHA")))</f>
        <v/>
      </c>
      <c r="AA3" s="11">
        <f>Q3-K3</f>
        <v/>
      </c>
      <c r="AB3" t="n">
        <v>0.998</v>
      </c>
      <c r="AC3" s="2" t="inlineStr">
        <is>
          <t>artifacts_campanha/treino.json &gt; por_braco.atencioso.tier2_sentinela.media</t>
        </is>
      </c>
      <c r="AD3" t="inlineStr">
        <is>
          <t>ARTEFATO</t>
        </is>
      </c>
      <c r="AE3" t="n">
        <v>0.986</v>
      </c>
      <c r="AF3" s="2" t="inlineStr">
        <is>
          <t>artifacts_campanha/treino.json &gt; por_braco.exigente.tier2_sentinela.media</t>
        </is>
      </c>
      <c r="AG3" t="inlineStr">
        <is>
          <t>ARTEFATO</t>
        </is>
      </c>
      <c r="AH3" s="11">
        <f>AE3-AB3</f>
        <v/>
      </c>
      <c r="AI3" s="2" t="inlineStr">
        <is>
          <t>treino típico = ALCANCE do lugar (experiments/calibrar_progressao.py); NPCs imprevisíveis por decisão do Matheus (2026-09-26): todo pet treinado vence, o pet sem treino vence com frequência</t>
        </is>
      </c>
    </row>
    <row r="4">
      <c r="A4" s="2" t="inlineStr">
        <is>
          <t>Carcereiro</t>
        </is>
      </c>
      <c r="B4" s="2" t="inlineStr">
        <is>
          <t>Torre de pedra</t>
        </is>
      </c>
      <c r="C4" s="2" t="inlineStr">
        <is>
          <t>adolescente</t>
        </is>
      </c>
      <c r="D4" s="2" t="inlineStr">
        <is>
          <t>v21:espelho</t>
        </is>
      </c>
      <c r="E4" t="n">
        <v>90</v>
      </c>
      <c r="F4" s="2" t="inlineStr">
        <is>
          <t>digilab/config.py &gt; ConfigCampanha.npcs['tier2_carcereiro'].total_stats</t>
        </is>
      </c>
      <c r="G4" t="inlineStr">
        <is>
          <t>CONFIG</t>
        </is>
      </c>
      <c r="H4" t="n">
        <v>0.5</v>
      </c>
      <c r="I4" s="2" t="inlineStr">
        <is>
          <t>digilab/config.py &gt; ConfigCampanha.npcs['tier2_carcereiro'].epsilon</t>
        </is>
      </c>
      <c r="J4" t="inlineStr">
        <is>
          <t>CONFIG</t>
        </is>
      </c>
      <c r="K4" t="n">
        <v>0.5</v>
      </c>
      <c r="L4" s="2" t="inlineStr">
        <is>
          <t>experiments/configs/progressao/validacao_resultado.json &gt; todos_vencem.tier2_carcereiro.basico_media</t>
        </is>
      </c>
      <c r="M4" t="inlineStr">
        <is>
          <t>ARTEFATO</t>
        </is>
      </c>
      <c r="N4" t="n">
        <v>0.991</v>
      </c>
      <c r="O4" s="2" t="inlineStr">
        <is>
          <t>experiments/configs/progressao/validacao_resultado.json &gt; todos_vencem.tier2_carcereiro.basico_max</t>
        </is>
      </c>
      <c r="P4" t="inlineStr">
        <is>
          <t>ARTEFATO</t>
        </is>
      </c>
      <c r="Q4" t="n">
        <v>0.911</v>
      </c>
      <c r="R4" s="2" t="inlineStr">
        <is>
          <t>experiments/configs/progressao/validacao_resultado.json &gt; todos_vencem.tier2_carcereiro.treinado_media</t>
        </is>
      </c>
      <c r="S4" t="inlineStr">
        <is>
          <t>ARTEFATO</t>
        </is>
      </c>
      <c r="T4" t="n">
        <v>0.3</v>
      </c>
      <c r="U4" s="2" t="inlineStr">
        <is>
          <t>meta desta planilha (B1)</t>
        </is>
      </c>
      <c r="V4" s="10" t="inlineStr">
        <is>
          <t>PROPOSTO</t>
        </is>
      </c>
      <c r="W4" t="n">
        <v>0.8</v>
      </c>
      <c r="X4" s="2" t="inlineStr">
        <is>
          <t>meta desta planilha (B1)</t>
        </is>
      </c>
      <c r="Y4" s="10" t="inlineStr">
        <is>
          <t>PROPOSTO</t>
        </is>
      </c>
      <c r="Z4">
        <f>IF(OR(K4="SEM FONTE",Q4="SEM FONTE"),"SEM FONTE",IF(AND(K4&lt;=T4,Q4&gt;=W4),"OK",IF(AND(K4&lt;=T4+0.1,Q4&gt;=W4-0.1),"PERTO","NAO FECHA")))</f>
        <v/>
      </c>
      <c r="AA4" s="11">
        <f>Q4-K4</f>
        <v/>
      </c>
      <c r="AB4" t="n">
        <v>1</v>
      </c>
      <c r="AC4" s="2" t="inlineStr">
        <is>
          <t>artifacts_campanha/treino.json &gt; por_braco.atencioso.tier2_carcereiro.media</t>
        </is>
      </c>
      <c r="AD4" t="inlineStr">
        <is>
          <t>ARTEFATO</t>
        </is>
      </c>
      <c r="AE4" t="n">
        <v>0.993</v>
      </c>
      <c r="AF4" s="2" t="inlineStr">
        <is>
          <t>artifacts_campanha/treino.json &gt; por_braco.exigente.tier2_carcereiro.media</t>
        </is>
      </c>
      <c r="AG4" t="inlineStr">
        <is>
          <t>ARTEFATO</t>
        </is>
      </c>
      <c r="AH4" s="11">
        <f>AE4-AB4</f>
        <v/>
      </c>
      <c r="AI4" s="2" t="inlineStr">
        <is>
          <t>treino típico = ALCANCE do lugar (experiments/calibrar_progressao.py); NPCs imprevisíveis por decisão do Matheus (2026-09-26): todo pet treinado vence, o pet sem treino vence com frequência</t>
        </is>
      </c>
    </row>
    <row r="5">
      <c r="A5" s="2" t="inlineStr">
        <is>
          <t>Porteiro</t>
        </is>
      </c>
      <c r="B5" s="2" t="inlineStr">
        <is>
          <t>Torre de pedra</t>
        </is>
      </c>
      <c r="C5" s="2" t="inlineStr">
        <is>
          <t>adolescente</t>
        </is>
      </c>
      <c r="D5" s="2" t="inlineStr">
        <is>
          <t>v2c:agressivo</t>
        </is>
      </c>
      <c r="E5" t="n">
        <v>90</v>
      </c>
      <c r="F5" s="2" t="inlineStr">
        <is>
          <t>digilab/config.py &gt; ConfigCampanha.npcs['tier2_porteiro'].total_stats</t>
        </is>
      </c>
      <c r="G5" t="inlineStr">
        <is>
          <t>CONFIG</t>
        </is>
      </c>
      <c r="H5" t="n">
        <v>0.5</v>
      </c>
      <c r="I5" s="2" t="inlineStr">
        <is>
          <t>digilab/config.py &gt; ConfigCampanha.npcs['tier2_porteiro'].epsilon</t>
        </is>
      </c>
      <c r="J5" t="inlineStr">
        <is>
          <t>CONFIG</t>
        </is>
      </c>
      <c r="K5" t="n">
        <v>0.392</v>
      </c>
      <c r="L5" s="2" t="inlineStr">
        <is>
          <t>experiments/configs/progressao/validacao_resultado.json &gt; todos_vencem.tier2_porteiro.basico_media</t>
        </is>
      </c>
      <c r="M5" t="inlineStr">
        <is>
          <t>ARTEFATO</t>
        </is>
      </c>
      <c r="N5" t="n">
        <v>0.627</v>
      </c>
      <c r="O5" s="2" t="inlineStr">
        <is>
          <t>experiments/configs/progressao/validacao_resultado.json &gt; todos_vencem.tier2_porteiro.basico_max</t>
        </is>
      </c>
      <c r="P5" t="inlineStr">
        <is>
          <t>ARTEFATO</t>
        </is>
      </c>
      <c r="Q5" t="n">
        <v>0.846</v>
      </c>
      <c r="R5" s="2" t="inlineStr">
        <is>
          <t>experiments/configs/progressao/validacao_resultado.json &gt; todos_vencem.tier2_porteiro.treinado_media</t>
        </is>
      </c>
      <c r="S5" t="inlineStr">
        <is>
          <t>ARTEFATO</t>
        </is>
      </c>
      <c r="T5" t="n">
        <v>0.3</v>
      </c>
      <c r="U5" s="2" t="inlineStr">
        <is>
          <t>meta desta planilha (B1)</t>
        </is>
      </c>
      <c r="V5" s="10" t="inlineStr">
        <is>
          <t>PROPOSTO</t>
        </is>
      </c>
      <c r="W5" t="n">
        <v>0.8</v>
      </c>
      <c r="X5" s="2" t="inlineStr">
        <is>
          <t>meta desta planilha (B1)</t>
        </is>
      </c>
      <c r="Y5" s="10" t="inlineStr">
        <is>
          <t>PROPOSTO</t>
        </is>
      </c>
      <c r="Z5">
        <f>IF(OR(K5="SEM FONTE",Q5="SEM FONTE"),"SEM FONTE",IF(AND(K5&lt;=T5,Q5&gt;=W5),"OK",IF(AND(K5&lt;=T5+0.1,Q5&gt;=W5-0.1),"PERTO","NAO FECHA")))</f>
        <v/>
      </c>
      <c r="AA5" s="11">
        <f>Q5-K5</f>
        <v/>
      </c>
      <c r="AB5" t="n">
        <v>0.997</v>
      </c>
      <c r="AC5" s="2" t="inlineStr">
        <is>
          <t>artifacts_campanha/treino.json &gt; por_braco.atencioso.tier2_porteiro.media</t>
        </is>
      </c>
      <c r="AD5" t="inlineStr">
        <is>
          <t>ARTEFATO</t>
        </is>
      </c>
      <c r="AE5" t="n">
        <v>0.987</v>
      </c>
      <c r="AF5" s="2" t="inlineStr">
        <is>
          <t>artifacts_campanha/treino.json &gt; por_braco.exigente.tier2_porteiro.media</t>
        </is>
      </c>
      <c r="AG5" t="inlineStr">
        <is>
          <t>ARTEFATO</t>
        </is>
      </c>
      <c r="AH5" s="11">
        <f>AE5-AB5</f>
        <v/>
      </c>
      <c r="AI5" s="2" t="inlineStr">
        <is>
          <t>treino típico = ALCANCE do lugar (experiments/calibrar_progressao.py); NPCs imprevisíveis por decisão do Matheus (2026-09-26): todo pet treinado vence, o pet sem treino vence com frequência</t>
        </is>
      </c>
    </row>
    <row r="6">
      <c r="A6" s="2" t="inlineStr">
        <is>
          <t>Soberano</t>
        </is>
      </c>
      <c r="B6" s="2" t="inlineStr">
        <is>
          <t>Cidadela</t>
        </is>
      </c>
      <c r="C6" s="2" t="inlineStr">
        <is>
          <t>adulto</t>
        </is>
      </c>
      <c r="D6" s="2" t="inlineStr">
        <is>
          <t>v2c:agressivo</t>
        </is>
      </c>
      <c r="E6" t="n">
        <v>110</v>
      </c>
      <c r="F6" s="2" t="inlineStr">
        <is>
          <t>digilab/config.py &gt; ConfigCampanha.npcs['tier3_soberano'].total_stats</t>
        </is>
      </c>
      <c r="G6" t="inlineStr">
        <is>
          <t>CONFIG</t>
        </is>
      </c>
      <c r="H6" t="n">
        <v>0.5</v>
      </c>
      <c r="I6" s="2" t="inlineStr">
        <is>
          <t>digilab/config.py &gt; ConfigCampanha.npcs['tier3_soberano'].epsilon</t>
        </is>
      </c>
      <c r="J6" t="inlineStr">
        <is>
          <t>CONFIG</t>
        </is>
      </c>
      <c r="K6" t="n">
        <v>0.523</v>
      </c>
      <c r="L6" s="2" t="inlineStr">
        <is>
          <t>experiments/configs/progressao/validacao_resultado.json &gt; todos_vencem.tier3_soberano.basico_media</t>
        </is>
      </c>
      <c r="M6" t="inlineStr">
        <is>
          <t>ARTEFATO</t>
        </is>
      </c>
      <c r="N6" t="n">
        <v>0.787</v>
      </c>
      <c r="O6" s="2" t="inlineStr">
        <is>
          <t>experiments/configs/progressao/validacao_resultado.json &gt; todos_vencem.tier3_soberano.basico_max</t>
        </is>
      </c>
      <c r="P6" t="inlineStr">
        <is>
          <t>ARTEFATO</t>
        </is>
      </c>
      <c r="Q6" t="n">
        <v>0.972</v>
      </c>
      <c r="R6" s="2" t="inlineStr">
        <is>
          <t>experiments/configs/progressao/validacao_resultado.json &gt; todos_vencem.tier3_soberano.treinado_media</t>
        </is>
      </c>
      <c r="S6" t="inlineStr">
        <is>
          <t>ARTEFATO</t>
        </is>
      </c>
      <c r="T6" t="n">
        <v>0.3</v>
      </c>
      <c r="U6" s="2" t="inlineStr">
        <is>
          <t>meta desta planilha (B1)</t>
        </is>
      </c>
      <c r="V6" s="10" t="inlineStr">
        <is>
          <t>PROPOSTO</t>
        </is>
      </c>
      <c r="W6" t="n">
        <v>0.8</v>
      </c>
      <c r="X6" s="2" t="inlineStr">
        <is>
          <t>meta desta planilha (B1)</t>
        </is>
      </c>
      <c r="Y6" s="10" t="inlineStr">
        <is>
          <t>PROPOSTO</t>
        </is>
      </c>
      <c r="Z6">
        <f>IF(OR(K6="SEM FONTE",Q6="SEM FONTE"),"SEM FONTE",IF(AND(K6&lt;=T6,Q6&gt;=W6),"OK",IF(AND(K6&lt;=T6+0.1,Q6&gt;=W6-0.1),"PERTO","NAO FECHA")))</f>
        <v/>
      </c>
      <c r="AA6" s="11">
        <f>Q6-K6</f>
        <v/>
      </c>
      <c r="AB6" t="n">
        <v>0.989</v>
      </c>
      <c r="AC6" s="2" t="inlineStr">
        <is>
          <t>artifacts_campanha/treino.json &gt; por_braco.atencioso.tier3_soberano.media</t>
        </is>
      </c>
      <c r="AD6" t="inlineStr">
        <is>
          <t>ARTEFATO</t>
        </is>
      </c>
      <c r="AE6" t="n">
        <v>0.975</v>
      </c>
      <c r="AF6" s="2" t="inlineStr">
        <is>
          <t>artifacts_campanha/treino.json &gt; por_braco.exigente.tier3_soberano.media</t>
        </is>
      </c>
      <c r="AG6" t="inlineStr">
        <is>
          <t>ARTEFATO</t>
        </is>
      </c>
      <c r="AH6" s="11">
        <f>AE6-AB6</f>
        <v/>
      </c>
      <c r="AI6" s="2" t="inlineStr">
        <is>
          <t>treino típico = ALCANCE do lugar (experiments/calibrar_progressao.py); NPCs imprevisíveis por decisão do Matheus (2026-09-26): todo pet treinado vence, o pet sem treino vence com frequência</t>
        </is>
      </c>
    </row>
    <row r="7">
      <c r="A7" s="2" t="inlineStr">
        <is>
          <t>Arena da pesquisa (V21C normalizada)</t>
        </is>
      </c>
      <c r="B7" s="2" t="inlineStr">
        <is>
          <t>arena</t>
        </is>
      </c>
      <c r="C7" s="2" t="inlineStr">
        <is>
          <t>adulto</t>
        </is>
      </c>
      <c r="D7" s="2" t="inlineStr">
        <is>
          <t>pet × pet</t>
        </is>
      </c>
      <c r="E7" s="2" t="inlineStr">
        <is>
          <t>—</t>
        </is>
      </c>
      <c r="H7" s="2" t="inlineStr">
        <is>
          <t>—</t>
        </is>
      </c>
      <c r="K7" t="n">
        <v>0.404</v>
      </c>
      <c r="L7" s="2" t="inlineStr">
        <is>
          <t>artifacts_treino/resumo.json &gt; exigente_x_atencioso.atencioso_contra_aleatorio.media (não é 'sem treino': é atencioso × aleatório)</t>
        </is>
      </c>
      <c r="M7" t="inlineStr">
        <is>
          <t>ARTEFATO</t>
        </is>
      </c>
      <c r="N7" s="2" t="inlineStr">
        <is>
          <t>—</t>
        </is>
      </c>
      <c r="Q7" t="n">
        <v>0.431</v>
      </c>
      <c r="R7" s="2" t="inlineStr">
        <is>
          <t>artifacts_treino/resumo.json &gt; exigente_x_atencioso.arena_exigente_contra_atencioso.media</t>
        </is>
      </c>
      <c r="S7" t="inlineStr">
        <is>
          <t>ARTEFATO</t>
        </is>
      </c>
      <c r="Z7" s="2" t="inlineStr">
        <is>
          <t>fora da meta (a arena mede o pet, não um portão)</t>
        </is>
      </c>
      <c r="AI7" s="2" t="inlineStr">
        <is>
          <t>a arena normaliza o total de stats ao orçamento: o treino muda o perfil, não o tamanho (pve_treino.json &gt; normalizacao_pvp)</t>
        </is>
      </c>
    </row>
  </sheetData>
  <conditionalFormatting sqref="Z2:Z7">
    <cfRule type="expression" priority="1" dxfId="0">
      <formula>Z2="OK"</formula>
    </cfRule>
    <cfRule type="expression" priority="2" dxfId="1">
      <formula>Z2="PERTO"</formula>
    </cfRule>
    <cfRule type="expression" priority="3" dxfId="2">
      <formula>Z2="NAO FECHA"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  <col width="16" customWidth="1" min="4" max="4"/>
    <col width="60" customWidth="1" min="5" max="5"/>
  </cols>
  <sheetData>
    <row r="1">
      <c r="A1" s="8" t="inlineStr">
        <is>
          <t>parâmetro</t>
        </is>
      </c>
      <c r="B1" s="8" t="inlineStr">
        <is>
          <t>valor</t>
        </is>
      </c>
      <c r="C1" s="8" t="inlineStr">
        <is>
          <t>fonte</t>
        </is>
      </c>
      <c r="D1" s="8" t="inlineStr">
        <is>
          <t>status</t>
        </is>
      </c>
      <c r="E1" s="8" t="inlineStr">
        <is>
          <t>nota</t>
        </is>
      </c>
    </row>
    <row r="2">
      <c r="A2" s="2" t="inlineStr">
        <is>
          <t>ganho por sessão (principal)</t>
        </is>
      </c>
      <c r="B2" t="n">
        <v>2</v>
      </c>
      <c r="C2" s="2" t="inlineStr">
        <is>
          <t>digilab/config.py &gt; ConfigTreino.ganho_principal</t>
        </is>
      </c>
      <c r="D2" t="inlineStr">
        <is>
          <t>CONFIG</t>
        </is>
      </c>
      <c r="E2" s="2" t="inlineStr">
        <is>
          <t>× aptidão da espécie × (1 − pontos no stat/10) × (1 − fadiga/100)</t>
        </is>
      </c>
    </row>
    <row r="3">
      <c r="A3" s="2" t="inlineStr">
        <is>
          <t>ganho por sessão (secundário)</t>
        </is>
      </c>
      <c r="B3" t="n">
        <v>1</v>
      </c>
      <c r="C3" s="2" t="inlineStr">
        <is>
          <t>digilab/config.py &gt; ConfigTreino.ganho_secundario</t>
        </is>
      </c>
      <c r="D3" t="inlineStr">
        <is>
          <t>CONFIG</t>
        </is>
      </c>
      <c r="E3" s="2" t="inlineStr"/>
    </row>
    <row r="4">
      <c r="A4" s="2" t="inlineStr">
        <is>
          <t>teto por stat</t>
        </is>
      </c>
      <c r="B4" t="n">
        <v>10</v>
      </c>
      <c r="C4" s="2" t="inlineStr">
        <is>
          <t>digilab/config.py &gt; ConfigTreino.teto_por_stat</t>
        </is>
      </c>
      <c r="D4" t="inlineStr">
        <is>
          <t>CONFIG</t>
        </is>
      </c>
      <c r="E4" s="2" t="inlineStr">
        <is>
          <t>retorno decrescente até aqui</t>
        </is>
      </c>
    </row>
    <row r="5">
      <c r="A5" s="2" t="inlineStr">
        <is>
          <t>teto por estágio: Rookie</t>
        </is>
      </c>
      <c r="B5" t="n">
        <v>10</v>
      </c>
      <c r="C5" s="2" t="inlineStr">
        <is>
          <t>digilab/config.py &gt; ConfigTreino.teto_por_estagio['crianca']</t>
        </is>
      </c>
      <c r="D5" t="inlineStr">
        <is>
          <t>CONFIG</t>
        </is>
      </c>
      <c r="E5" s="2" t="inlineStr"/>
    </row>
    <row r="6">
      <c r="A6" s="2" t="inlineStr">
        <is>
          <t>teto por estágio: Champion</t>
        </is>
      </c>
      <c r="B6" t="n">
        <v>12</v>
      </c>
      <c r="C6" s="2" t="inlineStr">
        <is>
          <t>digilab/config.py &gt; ConfigTreino.teto_por_estagio['adolescente']</t>
        </is>
      </c>
      <c r="D6" t="inlineStr">
        <is>
          <t>CONFIG</t>
        </is>
      </c>
      <c r="E6" s="2" t="inlineStr"/>
    </row>
    <row r="7">
      <c r="A7" s="2" t="inlineStr">
        <is>
          <t>teto por estágio: Ultimate/Mega</t>
        </is>
      </c>
      <c r="B7" t="n">
        <v>14</v>
      </c>
      <c r="C7" s="2" t="inlineStr">
        <is>
          <t>digilab/config.py &gt; ConfigTreino.teto_por_estagio['adulto']</t>
        </is>
      </c>
      <c r="D7" t="inlineStr">
        <is>
          <t>CONFIG</t>
        </is>
      </c>
      <c r="E7" s="2" t="inlineStr"/>
    </row>
    <row r="8">
      <c r="A8" s="2" t="inlineStr">
        <is>
          <t>teto na vida</t>
        </is>
      </c>
      <c r="B8" t="n">
        <v>36</v>
      </c>
      <c r="C8" s="2" t="inlineStr">
        <is>
          <t>digilab/config.py &gt; ConfigTreino.teto_vida</t>
        </is>
      </c>
      <c r="D8" t="inlineStr">
        <is>
          <t>CONFIG</t>
        </is>
      </c>
      <c r="E8" s="2" t="inlineStr"/>
    </row>
    <row r="9">
      <c r="A9" s="2" t="inlineStr">
        <is>
          <t>peso do ponto em combate</t>
        </is>
      </c>
      <c r="B9" t="n">
        <v>3</v>
      </c>
      <c r="C9" s="2" t="inlineStr">
        <is>
          <t>digilab/config.py &gt; ConfigTreino.peso_ponto_combate</t>
        </is>
      </c>
      <c r="D9" t="inlineStr">
        <is>
          <t>CONFIG</t>
        </is>
      </c>
      <c r="E9" s="2" t="inlineStr">
        <is>
          <t>1 → 3 (calibrar_progressao): cada ponto vale 3 de stat</t>
        </is>
      </c>
    </row>
    <row r="10">
      <c r="A10" s="2" t="inlineStr">
        <is>
          <t>fadiga por sessão</t>
        </is>
      </c>
      <c r="B10" t="n">
        <v>20</v>
      </c>
      <c r="C10" s="2" t="inlineStr">
        <is>
          <t>digilab/config.py &gt; ConfigTreino.fadiga_por_sessao</t>
        </is>
      </c>
      <c r="D10" t="inlineStr">
        <is>
          <t>CONFIG</t>
        </is>
      </c>
      <c r="E10" s="2" t="inlineStr"/>
    </row>
    <row r="11">
      <c r="A11" s="2" t="inlineStr">
        <is>
          <t>recupera fadiga por hora acordado</t>
        </is>
      </c>
      <c r="B11" t="n">
        <v>10</v>
      </c>
      <c r="C11" s="2" t="inlineStr">
        <is>
          <t>digilab/config.py &gt; ConfigTreino.recupera_fadiga_por_hora</t>
        </is>
      </c>
      <c r="D11" t="inlineStr">
        <is>
          <t>CONFIG</t>
        </is>
      </c>
      <c r="E11" s="2" t="inlineStr">
        <is>
          <t>zera ao dormir</t>
        </is>
      </c>
    </row>
    <row r="12">
      <c r="A12" s="2" t="inlineStr">
        <is>
          <t>pede pausa com fadiga</t>
        </is>
      </c>
      <c r="B12" t="n">
        <v>40</v>
      </c>
      <c r="C12" s="2" t="inlineStr">
        <is>
          <t>digilab/config.py &gt; ConfigTreino.limiar_pausa</t>
        </is>
      </c>
      <c r="D12" t="inlineStr">
        <is>
          <t>CONFIG</t>
        </is>
      </c>
      <c r="E12" s="2" t="inlineStr"/>
    </row>
    <row r="13">
      <c r="A13" s="2" t="inlineStr">
        <is>
          <t>vira 'forçar' com fadiga</t>
        </is>
      </c>
      <c r="B13" t="n">
        <v>60</v>
      </c>
      <c r="C13" s="2" t="inlineStr">
        <is>
          <t>digilab/config.py &gt; ConfigTreino.limite_forcar</t>
        </is>
      </c>
      <c r="D13" t="inlineStr">
        <is>
          <t>CONFIG</t>
        </is>
      </c>
      <c r="E13" s="2" t="inlineStr"/>
    </row>
    <row r="14">
      <c r="A14" s="2" t="inlineStr">
        <is>
          <t>intervalo mínimo entre sessões (min)</t>
        </is>
      </c>
      <c r="B14" t="n">
        <v>10</v>
      </c>
      <c r="C14" s="2" t="inlineStr">
        <is>
          <t>digilab/config.py &gt; ConfigTreino.intervalo_minimo_ticks</t>
        </is>
      </c>
      <c r="D14" t="inlineStr">
        <is>
          <t>CONFIG</t>
        </is>
      </c>
      <c r="E14" s="2" t="inlineStr"/>
    </row>
    <row r="15">
      <c r="A15" s="2" t="inlineStr">
        <is>
          <t>forçar: multiplicador de ganho</t>
        </is>
      </c>
      <c r="B15" t="n">
        <v>1.5</v>
      </c>
      <c r="C15" s="2" t="inlineStr">
        <is>
          <t>digilab/config.py &gt; ConfigTreino.mult_forcar</t>
        </is>
      </c>
      <c r="D15" t="inlineStr">
        <is>
          <t>CONFIG</t>
        </is>
      </c>
      <c r="E15" s="2" t="inlineStr"/>
    </row>
    <row r="16">
      <c r="A16" s="2" t="inlineStr">
        <is>
          <t>forçar: sobrecarga por sessão</t>
        </is>
      </c>
      <c r="B16" t="n">
        <v>25</v>
      </c>
      <c r="C16" s="2" t="inlineStr">
        <is>
          <t>digilab/config.py &gt; ConfigTreino.sobrecarga_forcar</t>
        </is>
      </c>
      <c r="D16" t="inlineStr">
        <is>
          <t>CONFIG</t>
        </is>
      </c>
      <c r="E16" s="2" t="inlineStr">
        <is>
          <t>calibrado 15 → 25 (pve_treino.json diz 15)</t>
        </is>
      </c>
    </row>
    <row r="17">
      <c r="A17" s="2" t="inlineStr">
        <is>
          <t>forçar: vínculo por sessão</t>
        </is>
      </c>
      <c r="B17" t="n">
        <v>-0.05</v>
      </c>
      <c r="C17" s="2" t="inlineStr">
        <is>
          <t>digilab/config.py &gt; ConfigTreino.vinculo_forcar</t>
        </is>
      </c>
      <c r="D17" t="inlineStr">
        <is>
          <t>CONFIG</t>
        </is>
      </c>
      <c r="E17" s="2" t="inlineStr"/>
    </row>
    <row r="18">
      <c r="A18" s="2" t="inlineStr">
        <is>
          <t>sobrecarga: aviso (fala fria)</t>
        </is>
      </c>
      <c r="B18" t="n">
        <v>30</v>
      </c>
      <c r="C18" s="2" t="inlineStr">
        <is>
          <t>digilab/config.py &gt; ConfigSombrio.limiar_aviso</t>
        </is>
      </c>
      <c r="D18" t="inlineStr">
        <is>
          <t>CONFIG</t>
        </is>
      </c>
      <c r="E18" s="2" t="inlineStr"/>
    </row>
    <row r="19">
      <c r="A19" s="2" t="inlineStr">
        <is>
          <t>sobrecarga: forma sombria</t>
        </is>
      </c>
      <c r="B19" t="n">
        <v>60</v>
      </c>
      <c r="C19" s="2" t="inlineStr">
        <is>
          <t>digilab/config.py &gt; ConfigSombrio.limiar_sombrio</t>
        </is>
      </c>
      <c r="D19" t="inlineStr">
        <is>
          <t>CONFIG</t>
        </is>
      </c>
      <c r="E19" s="2" t="inlineStr">
        <is>
          <t>no momento da evolução para adulto</t>
        </is>
      </c>
    </row>
    <row r="20">
      <c r="A20" s="2" t="inlineStr">
        <is>
          <t>sobrecarga: decai por hora bem cuidado</t>
        </is>
      </c>
      <c r="B20" t="n">
        <v>2</v>
      </c>
      <c r="C20" s="2" t="inlineStr">
        <is>
          <t>digilab/config.py &gt; ConfigTreino.decai_sobrecarga_hora_bem_cuidado</t>
        </is>
      </c>
      <c r="D20" t="inlineStr">
        <is>
          <t>CONFIG</t>
        </is>
      </c>
      <c r="E20" s="2" t="inlineStr"/>
    </row>
    <row r="21">
      <c r="A21" s="2" t="inlineStr">
        <is>
          <t>sobrecarga: decai por sono completo</t>
        </is>
      </c>
      <c r="B21" t="n">
        <v>10</v>
      </c>
      <c r="C21" s="2" t="inlineStr">
        <is>
          <t>digilab/config.py &gt; ConfigTreino.decai_sobrecarga_sono_completo</t>
        </is>
      </c>
      <c r="D21" t="inlineStr">
        <is>
          <t>CONFIG</t>
        </is>
      </c>
      <c r="E21" s="2" t="inlineStr"/>
    </row>
    <row r="22">
      <c r="A22" s="2" t="inlineStr">
        <is>
          <t>cuidado por dia (orçamento)</t>
        </is>
      </c>
      <c r="B22" t="n">
        <v>16</v>
      </c>
      <c r="C22" s="2" t="inlineStr">
        <is>
          <t>digilab/config.py &gt; ConfigTreino.cuidado_por_dia</t>
        </is>
      </c>
      <c r="D22" t="inlineStr">
        <is>
          <t>CONFIG</t>
        </is>
      </c>
      <c r="E22" s="2" t="inlineStr">
        <is>
          <t>interações de cuidado + sessões-alvo do estágio</t>
        </is>
      </c>
    </row>
    <row r="23">
      <c r="A23" s="2" t="inlineStr">
        <is>
          <t>orçamento de interações por vida (14 dias)</t>
        </is>
      </c>
      <c r="B23" t="n">
        <v>298</v>
      </c>
      <c r="C23" s="2" t="inlineStr">
        <is>
          <t>artifacts_treino/resumo.json &gt; orcamento_por_vida</t>
        </is>
      </c>
      <c r="D23" t="inlineStr">
        <is>
          <t>ARTEFATO</t>
        </is>
      </c>
    </row>
    <row r="24">
      <c r="A24" s="2" t="inlineStr">
        <is>
          <t>sessões de treino por vida (alvo)</t>
        </is>
      </c>
      <c r="B24" t="n">
        <v>74</v>
      </c>
      <c r="C24" s="2" t="inlineStr">
        <is>
          <t>artifacts_treino/resumo.json &gt; slots_alvo</t>
        </is>
      </c>
      <c r="D24" t="inlineStr">
        <is>
          <t>ARTEFATO</t>
        </is>
      </c>
    </row>
    <row r="25">
      <c r="A25" s="2" t="inlineStr">
        <is>
          <t>custo do treino em interações (fração do orçamento)</t>
        </is>
      </c>
      <c r="B25" s="12">
        <f>B24/B23</f>
        <v/>
      </c>
      <c r="E25" s="2" t="inlineStr">
        <is>
          <t>fórmula: sessões-alvo / orçamento</t>
        </is>
      </c>
    </row>
    <row r="27">
      <c r="A27" s="13" t="inlineStr">
        <is>
          <t>braço</t>
        </is>
      </c>
      <c r="B27" s="13" t="inlineStr">
        <is>
          <t>sessões no Rookie</t>
        </is>
      </c>
      <c r="C27" s="13" t="inlineStr">
        <is>
          <t>fonte</t>
        </is>
      </c>
      <c r="D27" s="13" t="inlineStr">
        <is>
          <t>status</t>
        </is>
      </c>
      <c r="E27" s="13" t="inlineStr">
        <is>
          <t>sessões no Champion</t>
        </is>
      </c>
      <c r="F27" s="13" t="inlineStr">
        <is>
          <t>fonte</t>
        </is>
      </c>
      <c r="G27" s="13" t="inlineStr">
        <is>
          <t>status</t>
        </is>
      </c>
      <c r="H27" s="13" t="inlineStr">
        <is>
          <t>sessões no adulto</t>
        </is>
      </c>
      <c r="I27" s="13" t="inlineStr">
        <is>
          <t>fonte</t>
        </is>
      </c>
      <c r="J27" s="13" t="inlineStr">
        <is>
          <t>status</t>
        </is>
      </c>
      <c r="K27" s="13" t="inlineStr">
        <is>
          <t>pontos no fim da vida</t>
        </is>
      </c>
      <c r="L27" s="13" t="inlineStr">
        <is>
          <t>fonte</t>
        </is>
      </c>
      <c r="M27" s="13" t="inlineStr">
        <is>
          <t>status</t>
        </is>
      </c>
      <c r="N27" s="13" t="inlineStr">
        <is>
          <t>forçadas por vida</t>
        </is>
      </c>
      <c r="O27" s="13" t="inlineStr">
        <is>
          <t>fonte</t>
        </is>
      </c>
      <c r="P27" s="13" t="inlineStr">
        <is>
          <t>status</t>
        </is>
      </c>
      <c r="Q27" s="13" t="inlineStr">
        <is>
          <t>pontos acumulados por dia</t>
        </is>
      </c>
      <c r="R27" s="13" t="inlineStr">
        <is>
          <t>fonte</t>
        </is>
      </c>
      <c r="S27" s="13" t="inlineStr">
        <is>
          <t>status</t>
        </is>
      </c>
    </row>
    <row r="28">
      <c r="A28" s="2" t="inlineStr">
        <is>
          <t>atencioso</t>
        </is>
      </c>
      <c r="B28" t="n">
        <v>3.7</v>
      </c>
      <c r="C28" s="2" t="inlineStr">
        <is>
          <t>artifacts_treino/vidas/atencioso@*.jsonl: eventos treinar_* com 180 ≤ tick &lt; 900 (média de 10)</t>
        </is>
      </c>
      <c r="D28" t="inlineStr">
        <is>
          <t>ARTEFATO</t>
        </is>
      </c>
      <c r="E28" t="n">
        <v>3.5</v>
      </c>
      <c r="F28" s="2" t="inlineStr">
        <is>
          <t>artifacts_treino/vidas/atencioso@*.jsonl: eventos treinar_* com 900 ≤ tick &lt; 1980 (média de 10)</t>
        </is>
      </c>
      <c r="G28" t="inlineStr">
        <is>
          <t>ARTEFATO</t>
        </is>
      </c>
      <c r="H28" t="n">
        <v>44.3</v>
      </c>
      <c r="I28" s="2" t="inlineStr">
        <is>
          <t>artifacts_treino/vidas/atencioso@*.jsonl: eventos treinar_* com 1980 ≤ tick &lt; 20160 (média de 10)</t>
        </is>
      </c>
      <c r="J28" t="inlineStr">
        <is>
          <t>ARTEFATO</t>
        </is>
      </c>
      <c r="K28" t="n">
        <v>28.26</v>
      </c>
      <c r="L28" s="2" t="inlineStr">
        <is>
          <t>artifacts_treino/resumo.json &gt; por_braco.atencioso.treino_total.media</t>
        </is>
      </c>
      <c r="M28" t="inlineStr">
        <is>
          <t>ARTEFATO</t>
        </is>
      </c>
      <c r="N28" t="n">
        <v>0</v>
      </c>
      <c r="O28" s="2" t="inlineStr">
        <is>
          <t>artifacts_treino/resumo.json &gt; por_braco.atencioso.forcadas_media</t>
        </is>
      </c>
      <c r="P28" t="inlineStr">
        <is>
          <t>ARTEFATO</t>
        </is>
      </c>
      <c r="Q28" s="14" t="inlineStr">
        <is>
          <t>SEM FONTE</t>
        </is>
      </c>
      <c r="R28" s="2" t="inlineStr"/>
      <c r="S28" t="inlineStr">
        <is>
          <t>SEM FONTE</t>
        </is>
      </c>
    </row>
    <row r="29">
      <c r="A29" s="2" t="inlineStr">
        <is>
          <t>exigente</t>
        </is>
      </c>
      <c r="B29" t="n">
        <v>6.8</v>
      </c>
      <c r="C29" s="2" t="inlineStr">
        <is>
          <t>artifacts_treino/vidas/exigente@*.jsonl: eventos treinar_* com 180 ≤ tick &lt; 900 (média de 10)</t>
        </is>
      </c>
      <c r="D29" t="inlineStr">
        <is>
          <t>ARTEFATO</t>
        </is>
      </c>
      <c r="E29" t="n">
        <v>7.2</v>
      </c>
      <c r="F29" s="2" t="inlineStr">
        <is>
          <t>artifacts_treino/vidas/exigente@*.jsonl: eventos treinar_* com 900 ≤ tick &lt; 1980 (média de 10)</t>
        </is>
      </c>
      <c r="G29" t="inlineStr">
        <is>
          <t>ARTEFATO</t>
        </is>
      </c>
      <c r="H29" t="n">
        <v>84.2</v>
      </c>
      <c r="I29" s="2" t="inlineStr">
        <is>
          <t>artifacts_treino/vidas/exigente@*.jsonl: eventos treinar_* com 1980 ≤ tick &lt; 20160 (média de 10)</t>
        </is>
      </c>
      <c r="J29" t="inlineStr">
        <is>
          <t>ARTEFATO</t>
        </is>
      </c>
      <c r="K29" t="n">
        <v>35.77</v>
      </c>
      <c r="L29" s="2" t="inlineStr">
        <is>
          <t>artifacts_treino/resumo.json &gt; por_braco.exigente.treino_total.media</t>
        </is>
      </c>
      <c r="M29" t="inlineStr">
        <is>
          <t>ARTEFATO</t>
        </is>
      </c>
      <c r="N29" t="n">
        <v>19.7</v>
      </c>
      <c r="O29" s="2" t="inlineStr">
        <is>
          <t>artifacts_treino/resumo.json &gt; por_braco.exigente.forcadas_media</t>
        </is>
      </c>
      <c r="P29" t="inlineStr">
        <is>
          <t>ARTEFATO</t>
        </is>
      </c>
      <c r="Q29" s="14" t="inlineStr">
        <is>
          <t>SEM FONTE</t>
        </is>
      </c>
      <c r="R29" s="2" t="inlineStr"/>
      <c r="S29" t="inlineStr">
        <is>
          <t>SEM FONTE</t>
        </is>
      </c>
    </row>
    <row r="30">
      <c r="A30" s="2" t="inlineStr">
        <is>
          <t>aleatorio</t>
        </is>
      </c>
      <c r="B30" t="n">
        <v>4.6</v>
      </c>
      <c r="C30" s="2" t="inlineStr">
        <is>
          <t>artifacts_treino/vidas/aleatorio@*.jsonl: eventos treinar_* com 180 ≤ tick &lt; 900 (média de 10)</t>
        </is>
      </c>
      <c r="D30" t="inlineStr">
        <is>
          <t>ARTEFATO</t>
        </is>
      </c>
      <c r="E30" t="n">
        <v>5.1</v>
      </c>
      <c r="F30" s="2" t="inlineStr">
        <is>
          <t>artifacts_treino/vidas/aleatorio@*.jsonl: eventos treinar_* com 900 ≤ tick &lt; 1980 (média de 10)</t>
        </is>
      </c>
      <c r="G30" t="inlineStr">
        <is>
          <t>ARTEFATO</t>
        </is>
      </c>
      <c r="H30" t="n">
        <v>56.1</v>
      </c>
      <c r="I30" s="2" t="inlineStr">
        <is>
          <t>artifacts_treino/vidas/aleatorio@*.jsonl: eventos treinar_* com 1980 ≤ tick &lt; 20160 (média de 10)</t>
        </is>
      </c>
      <c r="J30" t="inlineStr">
        <is>
          <t>ARTEFATO</t>
        </is>
      </c>
      <c r="K30" t="n">
        <v>30.81</v>
      </c>
      <c r="L30" s="2" t="inlineStr">
        <is>
          <t>artifacts_treino/resumo.json &gt; por_braco.aleatorio.treino_total.media</t>
        </is>
      </c>
      <c r="M30" t="inlineStr">
        <is>
          <t>ARTEFATO</t>
        </is>
      </c>
      <c r="N30" t="n">
        <v>1.8</v>
      </c>
      <c r="O30" s="2" t="inlineStr">
        <is>
          <t>artifacts_treino/resumo.json &gt; por_braco.aleatorio.forcadas_media</t>
        </is>
      </c>
      <c r="P30" t="inlineStr">
        <is>
          <t>ARTEFATO</t>
        </is>
      </c>
      <c r="Q30" s="14" t="inlineStr">
        <is>
          <t>SEM FONTE</t>
        </is>
      </c>
      <c r="R30" s="2" t="inlineStr"/>
      <c r="S30" t="inlineStr">
        <is>
          <t>SEM FONTE</t>
        </is>
      </c>
    </row>
    <row r="31">
      <c r="A31" s="2" t="inlineStr">
        <is>
          <t>relapso</t>
        </is>
      </c>
      <c r="B31" t="n">
        <v>3.7</v>
      </c>
      <c r="C31" s="2" t="inlineStr">
        <is>
          <t>artifacts_treino/vidas/relapso@*.jsonl: eventos treinar_* com 180 ≤ tick &lt; 900 (média de 10)</t>
        </is>
      </c>
      <c r="D31" t="inlineStr">
        <is>
          <t>ARTEFATO</t>
        </is>
      </c>
      <c r="E31" t="n">
        <v>4</v>
      </c>
      <c r="F31" s="2" t="inlineStr">
        <is>
          <t>artifacts_treino/vidas/relapso@*.jsonl: eventos treinar_* com 900 ≤ tick &lt; 1980 (média de 10)</t>
        </is>
      </c>
      <c r="G31" t="inlineStr">
        <is>
          <t>ARTEFATO</t>
        </is>
      </c>
      <c r="H31" t="n">
        <v>49.5</v>
      </c>
      <c r="I31" s="2" t="inlineStr">
        <is>
          <t>artifacts_treino/vidas/relapso@*.jsonl: eventos treinar_* com 1980 ≤ tick &lt; 20160 (média de 10)</t>
        </is>
      </c>
      <c r="J31" t="inlineStr">
        <is>
          <t>ARTEFATO</t>
        </is>
      </c>
      <c r="K31" t="n">
        <v>29.34</v>
      </c>
      <c r="L31" s="2" t="inlineStr">
        <is>
          <t>artifacts_treino/resumo.json &gt; por_braco.relapso.treino_total.media</t>
        </is>
      </c>
      <c r="M31" t="inlineStr">
        <is>
          <t>ARTEFATO</t>
        </is>
      </c>
      <c r="N31" t="n">
        <v>0</v>
      </c>
      <c r="O31" s="2" t="inlineStr">
        <is>
          <t>artifacts_treino/resumo.json &gt; por_braco.relapso.forcadas_media</t>
        </is>
      </c>
      <c r="P31" t="inlineStr">
        <is>
          <t>ARTEFATO</t>
        </is>
      </c>
      <c r="Q31" s="14" t="inlineStr">
        <is>
          <t>SEM FONTE</t>
        </is>
      </c>
      <c r="R31" s="2" t="inlineStr"/>
      <c r="S31" t="inlineStr">
        <is>
          <t>SEM FONTE</t>
        </is>
      </c>
    </row>
    <row r="32">
      <c r="A32" s="2" t="inlineStr">
        <is>
          <t>incoerente</t>
        </is>
      </c>
      <c r="B32" t="n">
        <v>3.6</v>
      </c>
      <c r="C32" s="2" t="inlineStr">
        <is>
          <t>artifacts_treino/vidas/incoerente@*.jsonl: eventos treinar_* com 180 ≤ tick &lt; 900 (média de 10)</t>
        </is>
      </c>
      <c r="D32" t="inlineStr">
        <is>
          <t>ARTEFATO</t>
        </is>
      </c>
      <c r="E32" t="n">
        <v>3.9</v>
      </c>
      <c r="F32" s="2" t="inlineStr">
        <is>
          <t>artifacts_treino/vidas/incoerente@*.jsonl: eventos treinar_* com 900 ≤ tick &lt; 1980 (média de 10)</t>
        </is>
      </c>
      <c r="G32" t="inlineStr">
        <is>
          <t>ARTEFATO</t>
        </is>
      </c>
      <c r="H32" t="n">
        <v>45.3</v>
      </c>
      <c r="I32" s="2" t="inlineStr">
        <is>
          <t>artifacts_treino/vidas/incoerente@*.jsonl: eventos treinar_* com 1980 ≤ tick &lt; 20160 (média de 10)</t>
        </is>
      </c>
      <c r="J32" t="inlineStr">
        <is>
          <t>ARTEFATO</t>
        </is>
      </c>
      <c r="K32" t="n">
        <v>29.09</v>
      </c>
      <c r="L32" s="2" t="inlineStr">
        <is>
          <t>artifacts_treino/resumo.json &gt; por_braco.incoerente.treino_total.media</t>
        </is>
      </c>
      <c r="M32" t="inlineStr">
        <is>
          <t>ARTEFATO</t>
        </is>
      </c>
      <c r="N32" t="n">
        <v>0</v>
      </c>
      <c r="O32" s="2" t="inlineStr">
        <is>
          <t>artifacts_treino/resumo.json &gt; por_braco.incoerente.forcadas_media</t>
        </is>
      </c>
      <c r="P32" t="inlineStr">
        <is>
          <t>ARTEFATO</t>
        </is>
      </c>
      <c r="Q32" s="14" t="inlineStr">
        <is>
          <t>SEM FONTE</t>
        </is>
      </c>
      <c r="R32" s="2" t="inlineStr"/>
      <c r="S32" t="inlineStr">
        <is>
          <t>SEM FONTE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6" customWidth="1" min="2" max="2"/>
    <col width="70" customWidth="1" min="3" max="3"/>
  </cols>
  <sheetData>
    <row r="1">
      <c r="A1" s="8" t="inlineStr">
        <is>
          <t>o que</t>
        </is>
      </c>
      <c r="B1" s="8" t="inlineStr">
        <is>
          <t>status</t>
        </is>
      </c>
      <c r="C1" s="8" t="inlineStr">
        <is>
          <t>onde</t>
        </is>
      </c>
    </row>
    <row r="2">
      <c r="A2" s="2" t="inlineStr">
        <is>
          <t>Arena contra bots (7 clássicos + 8 formas adultas)</t>
        </is>
      </c>
      <c r="B2" s="4" t="inlineStr">
        <is>
          <t>EXECUTADO</t>
        </is>
      </c>
      <c r="C2" s="2" t="inlineStr">
        <is>
          <t>web/app (aba Lutar · Arena)</t>
        </is>
      </c>
    </row>
    <row r="3">
      <c r="A3" s="2" t="inlineStr">
        <is>
          <t>Melhor de 10</t>
        </is>
      </c>
      <c r="B3" s="4" t="inlineStr">
        <is>
          <t>EXECUTADO</t>
        </is>
      </c>
      <c r="C3" s="2" t="inlineStr">
        <is>
          <t>web/app/src/luta.ts &gt; melhorDe10</t>
        </is>
      </c>
    </row>
    <row r="4">
      <c r="A4" s="2" t="inlineStr">
        <is>
          <t>Campanha: Campina → Torre (3 rivais) → Cidadela</t>
        </is>
      </c>
      <c r="B4" s="4" t="inlineStr">
        <is>
          <t>EXECUTADO</t>
        </is>
      </c>
      <c r="C4" s="2" t="inlineStr">
        <is>
          <t>digilab/campanha.py; web/app (Lutar · Campanha)</t>
        </is>
      </c>
    </row>
    <row r="5">
      <c r="A5" s="2" t="inlineStr">
        <is>
          <t>Formas sombrias (forçar o treino)</t>
        </is>
      </c>
      <c r="B5" s="4" t="inlineStr">
        <is>
          <t>EXECUTADO</t>
        </is>
      </c>
      <c r="C5" s="2" t="inlineStr">
        <is>
          <t>ConfigSombrio; combate_v2/v21; web</t>
        </is>
      </c>
    </row>
    <row r="6">
      <c r="A6" s="2" t="inlineStr">
        <is>
          <t>Gambits híbridos (o pet aprende a lista; o dono trava/veta)</t>
        </is>
      </c>
      <c r="B6" s="4" t="inlineStr">
        <is>
          <t>EXECUTADO</t>
        </is>
      </c>
      <c r="C6" s="2" t="inlineStr">
        <is>
          <t>só na web (web/app/motor/gambits_pet.ts)</t>
        </is>
      </c>
    </row>
    <row r="7">
      <c r="A7" s="2" t="inlineStr">
        <is>
          <t>Catálogo (galeria das 15 formas por brasão)</t>
        </is>
      </c>
      <c r="B7" s="4" t="inlineStr">
        <is>
          <t>EXECUTADO</t>
        </is>
      </c>
      <c r="C7" s="2" t="inlineStr">
        <is>
          <t>web/app (Diário · Catálogo)</t>
        </is>
      </c>
    </row>
    <row r="8">
      <c r="A8" s="2" t="inlineStr">
        <is>
          <t>Cenários (pet de dono simulado vira rival fixo)</t>
        </is>
      </c>
      <c r="B8" s="4" t="inlineStr">
        <is>
          <t>EXECUTADO</t>
        </is>
      </c>
      <c r="C8" s="2" t="inlineStr">
        <is>
          <t>web/app (Diário · Cenários)</t>
        </is>
      </c>
    </row>
    <row r="9">
      <c r="A9" s="2" t="inlineStr">
        <is>
          <t>Replay de luta no Diário</t>
        </is>
      </c>
      <c r="B9" s="4" t="inlineStr">
        <is>
          <t>EXECUTADO</t>
        </is>
      </c>
      <c r="C9" s="2" t="inlineStr">
        <is>
          <t>web/app (Resultado · Ver replay)</t>
        </is>
      </c>
    </row>
    <row r="10">
      <c r="A10" s="2" t="inlineStr">
        <is>
          <t>Conversa por fala livre (LLM local)</t>
        </is>
      </c>
      <c r="B10" s="4" t="inlineStr">
        <is>
          <t>EXECUTADO</t>
        </is>
      </c>
      <c r="C10" s="2" t="inlineStr">
        <is>
          <t>digilab_fala_livre/, servidor/fala_livre.py</t>
        </is>
      </c>
    </row>
    <row r="11">
      <c r="A11" s="2" t="inlineStr">
        <is>
          <t>Arena entre jogadores (pet × pet de outro dono)</t>
        </is>
      </c>
      <c r="B11" s="5" t="inlineStr">
        <is>
          <t>ESPECIFICADO</t>
        </is>
      </c>
      <c r="C11" s="2" t="inlineStr">
        <is>
          <t>pve_treino.json &gt; normalizacao_pvp (sem rede)</t>
        </is>
      </c>
    </row>
    <row r="12">
      <c r="A12" s="2" t="inlineStr">
        <is>
          <t>Modo produto: janela de 60 min, intervalos ×2, pausa (Cold Mode)</t>
        </is>
      </c>
      <c r="B12" s="5" t="inlineStr">
        <is>
          <t>ESPECIFICADO</t>
        </is>
      </c>
      <c r="C12" s="2" t="inlineStr">
        <is>
          <t>cronograma_interacoes.json &gt; modo_produto (não implementado)</t>
        </is>
      </c>
    </row>
    <row r="13">
      <c r="A13" s="2" t="inlineStr">
        <is>
          <t>Peso, superalimentação e marca 'robusto'</t>
        </is>
      </c>
      <c r="B13" s="5" t="inlineStr">
        <is>
          <t>ESPECIFICADO</t>
        </is>
      </c>
      <c r="C13" s="2" t="inlineStr">
        <is>
          <t>arvore_evolucao.json cita cuidado_corporal.json, que não existe</t>
        </is>
      </c>
    </row>
    <row r="14">
      <c r="A14" s="2" t="inlineStr">
        <is>
          <t>Campeão secreto</t>
        </is>
      </c>
      <c r="B14" s="5" t="inlineStr">
        <is>
          <t>ESPECIFICADO</t>
        </is>
      </c>
      <c r="C14" s="2" t="inlineStr">
        <is>
          <t>docs/TAREFA_CAMPEAO_SECRETO.md (fora do git)</t>
        </is>
      </c>
    </row>
    <row r="15">
      <c r="A15" s="2" t="inlineStr">
        <is>
          <t>Mapa de qualidade-diversidade (MAP-Elites) de pets</t>
        </is>
      </c>
      <c r="B15" s="5" t="inlineStr">
        <is>
          <t>ESPECIFICADO</t>
        </is>
      </c>
      <c r="C15" s="2" t="inlineStr">
        <is>
          <t>docs/TAREFA_QD_MAP_ELITES.md (fora do git)</t>
        </is>
      </c>
    </row>
    <row r="16">
      <c r="A16" s="2" t="inlineStr">
        <is>
          <t>Segunda chance para quem errou cedo</t>
        </is>
      </c>
      <c r="B16" s="7" t="inlineStr">
        <is>
          <t>IDEIA</t>
        </is>
      </c>
      <c r="C16" s="2" t="inlineStr">
        <is>
          <t>princípio 4 (aba principios)</t>
        </is>
      </c>
    </row>
    <row r="17">
      <c r="A17" s="2" t="inlineStr">
        <is>
          <t>Calendário de campeonatos (espinha do ano, como no Digital Tamers: ReBorn)</t>
        </is>
      </c>
      <c r="B17" s="7" t="inlineStr">
        <is>
          <t>IDEIA</t>
        </is>
      </c>
      <c r="C17" s="2" t="inlineStr">
        <is>
          <t>princípio E1</t>
        </is>
      </c>
    </row>
    <row r="18">
      <c r="A18" s="2" t="inlineStr">
        <is>
          <t>Renascimento com herança (como no Digital Tamers 2)</t>
        </is>
      </c>
      <c r="B18" s="7" t="inlineStr">
        <is>
          <t>IDEIA</t>
        </is>
      </c>
      <c r="C18" s="2" t="inlineStr">
        <is>
          <t>princípio E2</t>
        </is>
      </c>
    </row>
    <row r="19">
      <c r="A19" s="2" t="inlineStr">
        <is>
          <t>Dificuldade pelo ritmo de ganho (modo fácil)</t>
        </is>
      </c>
      <c r="B19" s="7" t="inlineStr">
        <is>
          <t>IDEIA</t>
        </is>
      </c>
      <c r="C19" s="2" t="inlineStr">
        <is>
          <t>princípio 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00" customWidth="1" min="3" max="3"/>
  </cols>
  <sheetData>
    <row r="1">
      <c r="A1" s="8" t="inlineStr">
        <is>
          <t>princípio</t>
        </is>
      </c>
      <c r="B1" s="8" t="inlineStr">
        <is>
          <t>Digilab</t>
        </is>
      </c>
      <c r="C1" s="8" t="inlineStr">
        <is>
          <t>onde</t>
        </is>
      </c>
    </row>
    <row r="2">
      <c r="A2" s="2" t="inlineStr">
        <is>
          <t>1. Uma moeda por estágio; contadores zeram na evolução</t>
        </is>
      </c>
      <c r="B2" s="4" t="inlineStr">
        <is>
          <t>já tem</t>
        </is>
      </c>
      <c r="C2" s="2" t="inlineStr">
        <is>
          <t>cuidado → ramo; caráter → linha; complementar + sparring → forma (arvore_evolucao.json &gt; transicoes); contadores zeram (web/app/motor/motor.ts: sparring, chamados)</t>
        </is>
      </c>
    </row>
    <row r="3">
      <c r="A3" s="2" t="inlineStr">
        <is>
          <t>2. Limiares grossos e legíveis (faixas)</t>
        </is>
      </c>
      <c r="B3" s="5" t="inlineStr">
        <is>
          <t>parcial</t>
        </is>
      </c>
      <c r="C3" s="2" t="inlineStr">
        <is>
          <t>limiares exatos (cuidado 0,8, eixo com sinal); a web mostra 'se evoluísse agora' com o porquê e as lutas x de 10</t>
        </is>
      </c>
    </row>
    <row r="4">
      <c r="A4" s="2" t="inlineStr">
        <is>
          <t>3. Fracasso vira forma, não game over</t>
        </is>
      </c>
      <c r="B4" s="5" t="inlineStr">
        <is>
          <t>parcial</t>
        </is>
      </c>
      <c r="C4" s="2" t="inlineStr">
        <is>
          <t>arisco (pouco cuidado) e as formas sombrias (forçar); falta forma de fracasso para cuidado muito baixo no adulto</t>
        </is>
      </c>
    </row>
    <row r="5">
      <c r="A5" s="2" t="inlineStr">
        <is>
          <t>4. Segunda chance para quem errou cedo</t>
        </is>
      </c>
      <c r="B5" s="6" t="inlineStr">
        <is>
          <t>falta</t>
        </is>
      </c>
      <c r="C5" s="2" t="inlineStr">
        <is>
          <t>o cuidado do bebê decide o ramo uma vez; nada recupera depois</t>
        </is>
      </c>
    </row>
    <row r="6">
      <c r="A6" s="2" t="inlineStr">
        <is>
          <t>5. Indicador de proximidade da próxima forma</t>
        </is>
      </c>
      <c r="B6" s="5" t="inlineStr">
        <is>
          <t>parcial</t>
        </is>
      </c>
      <c r="C6" s="2" t="inlineStr">
        <is>
          <t>Evolução mostra a forma provável e o porquê; não há faixa Fix/H/M/L por requisito</t>
        </is>
      </c>
    </row>
    <row r="7">
      <c r="A7" s="2" t="inlineStr">
        <is>
          <t>6. Dificuldade pelo ritmo de ganho, inimigos fixos</t>
        </is>
      </c>
      <c r="B7" s="6" t="inlineStr">
        <is>
          <t>falta</t>
        </is>
      </c>
      <c r="C7" s="2" t="inlineStr">
        <is>
          <t>NPCs fixos existem (ConfigCampanha); não há multiplicador de ganho por dificuldade (modo_produto só dobra intervalos)</t>
        </is>
      </c>
    </row>
    <row r="8">
      <c r="A8" s="2" t="inlineStr">
        <is>
          <t>7. Treinar cedo rende mais</t>
        </is>
      </c>
      <c r="B8" s="6" t="inlineStr">
        <is>
          <t>falta</t>
        </is>
      </c>
      <c r="C8" s="2" t="inlineStr">
        <is>
          <t>ganho por sessão é o mesmo em todo estágio (ConfigTreino.ganho_principal); a proporção nem muda com a escala</t>
        </is>
      </c>
    </row>
    <row r="9">
      <c r="A9" s="2" t="inlineStr">
        <is>
          <t>E1. Calendário como espinha da jornada (ReBorn: 12 campeonatos no ano)</t>
        </is>
      </c>
      <c r="B9" s="6" t="inlineStr">
        <is>
          <t>falta</t>
        </is>
      </c>
      <c r="C9" s="2" t="inlineStr">
        <is>
          <t>a campanha é uma escada de 3 lugares, sem datas; o 'endgame' não tem meta no tempo</t>
        </is>
      </c>
    </row>
    <row r="10">
      <c r="A10" s="2" t="inlineStr">
        <is>
          <t>E2. Renascimento com herança (DT2: morrer no nível 15+ com 4+ corações dá pontos para o próximo)</t>
        </is>
      </c>
      <c r="B10" s="6" t="inlineStr">
        <is>
          <t>falta</t>
        </is>
      </c>
      <c r="C10" s="2" t="inlineStr">
        <is>
          <t>um pet por vez; ovo novo apaga o anterior (web: Registro &gt; Novo ovo); nada passa ao próximo pet</t>
        </is>
      </c>
    </row>
    <row r="11">
      <c r="A11" s="2" t="inlineStr">
        <is>
          <t>E3. O tempo continua com o app fechado (Ver Web)</t>
        </is>
      </c>
      <c r="B11" s="6" t="inlineStr">
        <is>
          <t>falta</t>
        </is>
      </c>
      <c r="C11" s="2" t="inlineStr">
        <is>
          <t>web/app/src/tempo.ts: o tempo só anda com a página aberta (performance.now); fechar = pausa. Decisão de desenho a tomar</t>
        </is>
      </c>
    </row>
    <row r="12">
      <c r="A12" s="2" t="inlineStr">
        <is>
          <t>E4. Guia de campo das espécies encontradas (Ver Web)</t>
        </is>
      </c>
      <c r="B12" s="4" t="inlineStr">
        <is>
          <t>já tem</t>
        </is>
      </c>
      <c r="C12" s="2" t="inlineStr">
        <is>
          <t>Diário · Catálogo: formas vistas × silhuetas, por brasão</t>
        </is>
      </c>
    </row>
    <row r="13">
      <c r="A13" s="2" t="inlineStr">
        <is>
          <t>E5. A luta contribui sem substituir o ciclo de cuidado (Ver Web)</t>
        </is>
      </c>
      <c r="B13" s="5" t="inlineStr">
        <is>
          <t>parcial</t>
        </is>
      </c>
      <c r="C13" s="2" t="inlineStr">
        <is>
          <t>a luta ensina as regras e conta sparring; o cuidado decide o ramo e a obediência; mas a campanha hoje é vencida sem treino (alertas 1 e 2)</t>
        </is>
      </c>
    </row>
    <row r="14">
      <c r="A14" s="2" t="inlineStr">
        <is>
          <t>E6. Treino simples de entender (reclamação em DT2)</t>
        </is>
      </c>
      <c r="B14" s="5" t="inlineStr">
        <is>
          <t>parcial</t>
        </is>
      </c>
      <c r="C14" s="2" t="inlineStr">
        <is>
          <t>um botão por exercício; fadiga, forçar, sobrecarga e aptidão somam 4 conceitos no mesmo painel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16" customWidth="1" min="4" max="4"/>
    <col width="16" customWidth="1" min="5" max="5"/>
    <col width="16" customWidth="1" min="6" max="6"/>
    <col width="5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8" t="inlineStr">
        <is>
          <t>estágio</t>
        </is>
      </c>
      <c r="B1" s="8" t="inlineStr">
        <is>
          <t>vida exibida hoje (Brasa, sem treino)</t>
        </is>
      </c>
      <c r="C1" s="8" t="inlineStr">
        <is>
          <t>fonte</t>
        </is>
      </c>
      <c r="D1" s="8" t="inlineStr">
        <is>
          <t>status</t>
        </is>
      </c>
      <c r="E1" s="8" t="inlineStr">
        <is>
          <t>stat de catálogo exibido hoje (vigor da Brasa)</t>
        </is>
      </c>
      <c r="F1" s="8" t="inlineStr">
        <is>
          <t>fonte</t>
        </is>
      </c>
      <c r="G1" s="8" t="inlineStr">
        <is>
          <t>status</t>
        </is>
      </c>
      <c r="H1" s="8" t="inlineStr">
        <is>
          <t>vida proposta (escala E)</t>
        </is>
      </c>
      <c r="I1" s="8" t="inlineStr">
        <is>
          <t>fonte</t>
        </is>
      </c>
      <c r="J1" s="8" t="inlineStr">
        <is>
          <t>status</t>
        </is>
      </c>
      <c r="K1" s="8" t="inlineStr">
        <is>
          <t>DW1 (HP de referência)</t>
        </is>
      </c>
      <c r="L1" s="8" t="inlineStr">
        <is>
          <t>fonte</t>
        </is>
      </c>
      <c r="M1" s="8" t="inlineStr">
        <is>
          <t>status</t>
        </is>
      </c>
      <c r="N1" s="8" t="inlineStr">
        <is>
          <t>crescimento hoje (× do bebê)</t>
        </is>
      </c>
      <c r="O1" s="8" t="inlineStr">
        <is>
          <t>crescimento proposto (× do bebê)</t>
        </is>
      </c>
      <c r="P1" s="8" t="inlineStr">
        <is>
          <t>crescimento DW1 (× do In-Training)</t>
        </is>
      </c>
      <c r="Q1" s="8" t="inlineStr">
        <is>
          <t>degrau hoje (× do estágio anterior)</t>
        </is>
      </c>
      <c r="R1" s="8" t="inlineStr">
        <is>
          <t>degrau proposto</t>
        </is>
      </c>
      <c r="S1" s="8" t="inlineStr">
        <is>
          <t>degrau DW1</t>
        </is>
      </c>
    </row>
    <row r="2">
      <c r="A2" s="2" t="inlineStr">
        <is>
          <t>bebe</t>
        </is>
      </c>
      <c r="B2" t="n">
        <v>39</v>
      </c>
      <c r="C2" s="2" t="inlineStr">
        <is>
          <t>digilab/config.py: (hp_base + hp_por_vigor × vigor) × mult_estagio; forma brasa (catalogo.stats, V21C)</t>
        </is>
      </c>
      <c r="D2" t="inlineStr">
        <is>
          <t>CONFIG</t>
        </is>
      </c>
      <c r="E2" t="n">
        <v>9</v>
      </c>
      <c r="F2" s="2" t="inlineStr">
        <is>
          <t>digilab/combate_v2/v21/catalogo.py &gt; stats(brasa)['vigor'] (pontos, soma 60)</t>
        </is>
      </c>
      <c r="G2" t="inlineStr">
        <is>
          <t>CONFIG</t>
        </is>
      </c>
      <c r="H2" t="n">
        <v>50</v>
      </c>
      <c r="I2" s="2" t="inlineStr">
        <is>
          <t>digilab/config.py &gt; ConfigEscala.vida_por_estagio['bebe'] (aprovada na Parte B)</t>
        </is>
      </c>
      <c r="J2" t="inlineStr">
        <is>
          <t>CONFIG</t>
        </is>
      </c>
      <c r="K2" t="n">
        <v>100</v>
      </c>
      <c r="L2" s="2" t="inlineStr">
        <is>
          <t>DW1: In-Training: atributos até ~100 (HP de poucas centenas) (aba referencias)</t>
        </is>
      </c>
      <c r="M2" t="inlineStr">
        <is>
          <t>REFERENCIA</t>
        </is>
      </c>
      <c r="N2" s="12">
        <f>B2/B2</f>
        <v/>
      </c>
      <c r="O2" s="9">
        <f>H2/H2</f>
        <v/>
      </c>
      <c r="P2" s="9">
        <f>K2/K2</f>
        <v/>
      </c>
    </row>
    <row r="3">
      <c r="A3" s="2" t="inlineStr">
        <is>
          <t>crianca</t>
        </is>
      </c>
      <c r="B3" t="n">
        <v>58.5</v>
      </c>
      <c r="C3" s="2" t="inlineStr">
        <is>
          <t>digilab/config.py: (hp_base + hp_por_vigor × vigor) × mult_estagio; forma brasa/sereno (catalogo.stats, V21C)</t>
        </is>
      </c>
      <c r="D3" t="inlineStr">
        <is>
          <t>CONFIG</t>
        </is>
      </c>
      <c r="E3" t="n">
        <v>9</v>
      </c>
      <c r="F3" s="2" t="inlineStr">
        <is>
          <t>digilab/combate_v2/v21/catalogo.py &gt; stats(brasa/sereno)['vigor'] (pontos, soma 60)</t>
        </is>
      </c>
      <c r="G3" t="inlineStr">
        <is>
          <t>CONFIG</t>
        </is>
      </c>
      <c r="H3" t="n">
        <v>200</v>
      </c>
      <c r="I3" s="2" t="inlineStr">
        <is>
          <t>digilab/config.py &gt; ConfigEscala.vida_por_estagio['crianca'] (aprovada na Parte B)</t>
        </is>
      </c>
      <c r="J3" t="inlineStr">
        <is>
          <t>CONFIG</t>
        </is>
      </c>
      <c r="K3" t="n">
        <v>1000</v>
      </c>
      <c r="L3" s="2" t="inlineStr">
        <is>
          <t>DW1: Rookie inicial: HP alvo 1000 (aba referencias)</t>
        </is>
      </c>
      <c r="M3" t="inlineStr">
        <is>
          <t>REFERENCIA</t>
        </is>
      </c>
      <c r="N3" s="12">
        <f>B3/B2</f>
        <v/>
      </c>
      <c r="O3" s="9">
        <f>H3/H2</f>
        <v/>
      </c>
      <c r="P3" s="9">
        <f>K3/K2</f>
        <v/>
      </c>
      <c r="Q3" s="12">
        <f>B3/B2</f>
        <v/>
      </c>
      <c r="R3" s="12">
        <f>H3/H2</f>
        <v/>
      </c>
      <c r="S3" s="12">
        <f>K3/K2</f>
        <v/>
      </c>
    </row>
    <row r="4">
      <c r="A4" s="2" t="inlineStr">
        <is>
          <t>adolescente</t>
        </is>
      </c>
      <c r="B4" t="n">
        <v>78</v>
      </c>
      <c r="C4" s="2" t="inlineStr">
        <is>
          <t>digilab/config.py: (hp_base + hp_por_vigor × vigor) × mult_estagio; forma brasa/sereno/brigao (catalogo.stats, V21C)</t>
        </is>
      </c>
      <c r="D4" t="inlineStr">
        <is>
          <t>CONFIG</t>
        </is>
      </c>
      <c r="E4" t="n">
        <v>9</v>
      </c>
      <c r="F4" s="2" t="inlineStr">
        <is>
          <t>digilab/combate_v2/v21/catalogo.py &gt; stats(brasa/sereno/brigao)['vigor'] (pontos, soma 60)</t>
        </is>
      </c>
      <c r="G4" t="inlineStr">
        <is>
          <t>CONFIG</t>
        </is>
      </c>
      <c r="H4" t="n">
        <v>600</v>
      </c>
      <c r="I4" s="2" t="inlineStr">
        <is>
          <t>digilab/config.py &gt; ConfigEscala.vida_por_estagio['adolescente'] (aprovada na Parte B)</t>
        </is>
      </c>
      <c r="J4" t="inlineStr">
        <is>
          <t>CONFIG</t>
        </is>
      </c>
      <c r="K4" t="n">
        <v>1500</v>
      </c>
      <c r="L4" s="2" t="inlineStr">
        <is>
          <t>DW1: Champion 'sólido': HP ~1500 (requisitos 1000–2000) (aba referencias)</t>
        </is>
      </c>
      <c r="M4" t="inlineStr">
        <is>
          <t>REFERENCIA</t>
        </is>
      </c>
      <c r="N4" s="12">
        <f>B4/B2</f>
        <v/>
      </c>
      <c r="O4" s="9">
        <f>H4/H2</f>
        <v/>
      </c>
      <c r="P4" s="9">
        <f>K4/K2</f>
        <v/>
      </c>
      <c r="Q4" s="12">
        <f>B4/B3</f>
        <v/>
      </c>
      <c r="R4" s="12">
        <f>H4/H3</f>
        <v/>
      </c>
      <c r="S4" s="12">
        <f>K4/K3</f>
        <v/>
      </c>
    </row>
    <row r="5">
      <c r="A5" s="2" t="inlineStr">
        <is>
          <t>adulto</t>
        </is>
      </c>
      <c r="B5" t="n">
        <v>95</v>
      </c>
      <c r="C5" s="2" t="inlineStr">
        <is>
          <t>digilab/config.py: (hp_base + hp_por_vigor × vigor) × mult_estagio; forma brasa/sereno/brigao/duelista (catalogo.stats, V21C)</t>
        </is>
      </c>
      <c r="D5" t="inlineStr">
        <is>
          <t>CONFIG</t>
        </is>
      </c>
      <c r="E5" t="n">
        <v>8</v>
      </c>
      <c r="F5" s="2" t="inlineStr">
        <is>
          <t>digilab/combate_v2/v21/catalogo.py &gt; stats(brasa/sereno/brigao/duelista)['vigor'] (pontos, soma 60)</t>
        </is>
      </c>
      <c r="G5" t="inlineStr">
        <is>
          <t>CONFIG</t>
        </is>
      </c>
      <c r="H5" t="n">
        <v>1500</v>
      </c>
      <c r="I5" s="2" t="inlineStr">
        <is>
          <t>digilab/config.py &gt; ConfigEscala.vida_por_estagio['adulto'] (aprovada na Parte B)</t>
        </is>
      </c>
      <c r="J5" t="inlineStr">
        <is>
          <t>CONFIG</t>
        </is>
      </c>
      <c r="K5" t="n">
        <v>5000</v>
      </c>
      <c r="L5" s="2" t="inlineStr">
        <is>
          <t>DW1: Ultimate: requisitos de HP 3000–7000 (meio da faixa) (aba referencias)</t>
        </is>
      </c>
      <c r="M5" t="inlineStr">
        <is>
          <t>REFERENCIA</t>
        </is>
      </c>
      <c r="N5" s="12">
        <f>B5/B2</f>
        <v/>
      </c>
      <c r="O5" s="9">
        <f>H5/H2</f>
        <v/>
      </c>
      <c r="P5" s="9">
        <f>K5/K2</f>
        <v/>
      </c>
      <c r="Q5" s="12">
        <f>B5/B4</f>
        <v/>
      </c>
      <c r="R5" s="12">
        <f>H5/H4</f>
        <v/>
      </c>
      <c r="S5" s="12">
        <f>K5/K4</f>
        <v/>
      </c>
    </row>
    <row r="7">
      <c r="A7" s="15" t="inlineStr">
        <is>
          <t>Desenho (PROPOSTO): perfil × escala</t>
        </is>
      </c>
    </row>
    <row r="8">
      <c r="A8" s="8" t="inlineStr">
        <is>
          <t>peça</t>
        </is>
      </c>
      <c r="B8" s="8" t="inlineStr">
        <is>
          <t>regra</t>
        </is>
      </c>
    </row>
    <row r="9">
      <c r="A9" s="2" t="inlineStr">
        <is>
          <t>perfil</t>
        </is>
      </c>
      <c r="B9" s="2" t="inlineStr">
        <is>
          <t>os pontos do catálogo (espécie + temperamento + caráter + arquétipos, soma zero): o que a pesquisa compara; não muda</t>
        </is>
      </c>
    </row>
    <row r="10">
      <c r="A10" s="2" t="inlineStr">
        <is>
          <t>escala E</t>
        </is>
      </c>
      <c r="B10" s="2" t="inlineStr">
        <is>
          <t>magnitude do lutador: E = E_estágio × (1 + β × pontos treinados). Vida exibida = vida de hoje sem o mult. de estágio × E</t>
        </is>
      </c>
    </row>
    <row r="11">
      <c r="A11" s="2" t="inlineStr">
        <is>
          <t>combate</t>
        </is>
      </c>
      <c r="B11" s="2" t="inlineStr">
        <is>
          <t>cada lutador luta nas próprias unidades (vida e dano de hoje, sem o mult. de estágio); o dano que A causa em B é multiplicado por E_A / E_B. Guts fica absoluto (é ritmo, não magnitude)</t>
        </is>
      </c>
    </row>
    <row r="12">
      <c r="A12" s="2" t="inlineStr">
        <is>
          <t>invariância</t>
        </is>
      </c>
      <c r="B12" s="2" t="inlineStr">
        <is>
          <t>multiplicar E dos dois lados pelo mesmo fator dá E_A/E_B idêntico (mesmo float): a luta é exatamente a mesma. Lutas entre pets do mesmo estágio e sem treino têm razão 1,0 exato: a bateria V21C não muda</t>
        </is>
      </c>
    </row>
    <row r="13">
      <c r="A13" s="2" t="inlineStr">
        <is>
          <t>pesquisa</t>
        </is>
      </c>
      <c r="B13" s="2" t="inlineStr">
        <is>
          <t>a arena da pesquisa fixa E igual nos dois lados (adultos, treino normalizado ao orçamento): a escala não entra lá</t>
        </is>
      </c>
    </row>
    <row r="14">
      <c r="A14" s="2" t="inlineStr">
        <is>
          <t>mult. de estágio de hoje</t>
        </is>
      </c>
      <c r="B14" s="2" t="inlineStr">
        <is>
          <t>sai do combate na campanha (a escala faz o papel dele); fica só na arena antiga e nas runs de pesquisa</t>
        </is>
      </c>
    </row>
    <row r="16">
      <c r="A16" s="15" t="inlineStr">
        <is>
          <t>Treino na escala (B2.5)</t>
        </is>
      </c>
    </row>
    <row r="17">
      <c r="A17" s="8" t="inlineStr">
        <is>
          <t>estágio</t>
        </is>
      </c>
      <c r="B17" s="8" t="inlineStr">
        <is>
          <t>E do estágio</t>
        </is>
      </c>
      <c r="C17" s="8" t="inlineStr">
        <is>
          <t>β por ponto</t>
        </is>
      </c>
      <c r="D17" s="8" t="inlineStr">
        <is>
          <t>fonte</t>
        </is>
      </c>
      <c r="E17" s="8" t="inlineStr">
        <is>
          <t>status</t>
        </is>
      </c>
      <c r="F17" s="8" t="inlineStr">
        <is>
          <t>pontos típicos no fim do estágio</t>
        </is>
      </c>
      <c r="G17" s="8" t="inlineStr">
        <is>
          <t>fonte</t>
        </is>
      </c>
      <c r="H17" s="8" t="inlineStr">
        <is>
          <t>status</t>
        </is>
      </c>
      <c r="I17" s="8" t="inlineStr">
        <is>
          <t>E com treino típico</t>
        </is>
      </c>
      <c r="J17" s="8" t="inlineStr">
        <is>
          <t>ganho em vida exibida por ponto</t>
        </is>
      </c>
      <c r="K17" s="8" t="inlineStr">
        <is>
          <t>ganho relativo por ponto</t>
        </is>
      </c>
    </row>
    <row r="18">
      <c r="A18" s="2" t="inlineStr">
        <is>
          <t>crianca</t>
        </is>
      </c>
      <c r="B18">
        <f>H3</f>
        <v/>
      </c>
      <c r="C18" t="n">
        <v>0.03</v>
      </c>
      <c r="D18" s="2" t="inlineStr">
        <is>
          <t>digilab/config.py &gt; ConfigEscala.beta_treino (36 pontos → ×2,08)</t>
        </is>
      </c>
      <c r="E18" t="inlineStr">
        <is>
          <t>CONFIG</t>
        </is>
      </c>
      <c r="F18" t="n">
        <v>8</v>
      </c>
      <c r="G18" s="2" t="inlineStr">
        <is>
          <t>experiments/calibrar_progressao.py &gt; ALCANCE['tier1']['crianca']</t>
        </is>
      </c>
      <c r="H18" t="inlineStr">
        <is>
          <t>CONFIG</t>
        </is>
      </c>
      <c r="I18" s="16">
        <f>B18*(1+C18*F18)</f>
        <v/>
      </c>
      <c r="J18" s="9">
        <f>B18*C18</f>
        <v/>
      </c>
      <c r="K18" s="17">
        <f>C18/(1+C18*F18)</f>
        <v/>
      </c>
    </row>
    <row r="19">
      <c r="A19" s="2" t="inlineStr">
        <is>
          <t>adolescente</t>
        </is>
      </c>
      <c r="B19">
        <f>H4</f>
        <v/>
      </c>
      <c r="C19" t="n">
        <v>0.03</v>
      </c>
      <c r="D19" s="2" t="inlineStr">
        <is>
          <t>digilab/config.py &gt; ConfigEscala.beta_treino (36 pontos → ×2,08)</t>
        </is>
      </c>
      <c r="E19" t="inlineStr">
        <is>
          <t>CONFIG</t>
        </is>
      </c>
      <c r="F19" t="n">
        <v>22</v>
      </c>
      <c r="G19" s="2" t="inlineStr">
        <is>
          <t>experiments/calibrar_progressao.py &gt; ALCANCE['tier2']['adolescente']</t>
        </is>
      </c>
      <c r="H19" t="inlineStr">
        <is>
          <t>CONFIG</t>
        </is>
      </c>
      <c r="I19" s="16">
        <f>B19*(1+C19*F19)</f>
        <v/>
      </c>
      <c r="J19" s="9">
        <f>B19*C19</f>
        <v/>
      </c>
      <c r="K19" s="17">
        <f>C19/(1+C19*F19)</f>
        <v/>
      </c>
    </row>
    <row r="20">
      <c r="A20" s="2" t="inlineStr">
        <is>
          <t>adulto</t>
        </is>
      </c>
      <c r="B20">
        <f>H5</f>
        <v/>
      </c>
      <c r="C20" t="n">
        <v>0.03</v>
      </c>
      <c r="D20" s="2" t="inlineStr">
        <is>
          <t>digilab/config.py &gt; ConfigEscala.beta_treino (36 pontos → ×2,08)</t>
        </is>
      </c>
      <c r="E20" t="inlineStr">
        <is>
          <t>CONFIG</t>
        </is>
      </c>
      <c r="F20" t="n">
        <v>36</v>
      </c>
      <c r="G20" s="2" t="inlineStr">
        <is>
          <t>experiments/calibrar_progressao.py &gt; ALCANCE['tier3']['adulto']</t>
        </is>
      </c>
      <c r="H20" t="inlineStr">
        <is>
          <t>CONFIG</t>
        </is>
      </c>
      <c r="I20" s="16">
        <f>B20*(1+C20*F20)</f>
        <v/>
      </c>
      <c r="J20" s="9">
        <f>B20*C20</f>
        <v/>
      </c>
      <c r="K20" s="17">
        <f>C20/(1+C20*F20)</f>
        <v/>
      </c>
    </row>
    <row r="21">
      <c r="A21" s="2" t="inlineStr">
        <is>
          <t>peso_ponto_combate</t>
        </is>
      </c>
      <c r="B21" t="n">
        <v>3</v>
      </c>
      <c r="C21" s="2" t="inlineStr">
        <is>
          <t>digilab/config.py &gt; ConfigTreino.peso_ponto_combate</t>
        </is>
      </c>
      <c r="D21" t="inlineStr">
        <is>
          <t>CONFIG</t>
        </is>
      </c>
      <c r="E21" s="2" t="inlineStr">
        <is>
          <t>na nova base o ponto treinado vai para a escala (β) e para o perfil (proporções, como na arena normalizada); o ×3 absoluto sai da campanha (proposta: o perfil treinado é sempre normalizado ao orçamento)</t>
        </is>
      </c>
    </row>
    <row r="23">
      <c r="A23" s="15" t="inlineStr">
        <is>
          <t>NPCs na escala e efeito nas metas (sem run)</t>
        </is>
      </c>
    </row>
    <row r="24">
      <c r="A24" s="8" t="inlineStr">
        <is>
          <t>portão</t>
        </is>
      </c>
      <c r="B24" s="8" t="inlineStr">
        <is>
          <t>E do pet sem treino</t>
        </is>
      </c>
      <c r="C24" s="8" t="inlineStr">
        <is>
          <t>E do pet com treino típico</t>
        </is>
      </c>
      <c r="D24" s="8" t="inlineStr">
        <is>
          <t>fator do NPC</t>
        </is>
      </c>
      <c r="E24" s="8" t="inlineStr">
        <is>
          <t>fonte</t>
        </is>
      </c>
      <c r="F24" s="8" t="inlineStr">
        <is>
          <t>status</t>
        </is>
      </c>
      <c r="G24" s="8" t="inlineStr">
        <is>
          <t>E do NPC</t>
        </is>
      </c>
      <c r="H24" s="8" t="inlineStr">
        <is>
          <t>razão sem treino (pet/NPC)</t>
        </is>
      </c>
      <c r="I24" s="8" t="inlineStr">
        <is>
          <t>razão com treino (pet/NPC)</t>
        </is>
      </c>
      <c r="J24" s="8" t="inlineStr">
        <is>
          <t>razão de hoje sem treino (poder)</t>
        </is>
      </c>
      <c r="K24" s="8" t="inlineStr">
        <is>
          <t>razão de hoje com treino (poder)</t>
        </is>
      </c>
      <c r="L24" s="8" t="inlineStr">
        <is>
          <t>taxa esperada sem treino</t>
        </is>
      </c>
      <c r="M24" s="8" t="inlineStr">
        <is>
          <t>fonte</t>
        </is>
      </c>
      <c r="N24" s="8" t="inlineStr">
        <is>
          <t>status</t>
        </is>
      </c>
      <c r="O24" s="8" t="inlineStr">
        <is>
          <t>taxa esperada com treino</t>
        </is>
      </c>
      <c r="P24" s="8" t="inlineStr">
        <is>
          <t>fonte</t>
        </is>
      </c>
      <c r="Q24" s="8" t="inlineStr">
        <is>
          <t>status</t>
        </is>
      </c>
    </row>
    <row r="25">
      <c r="A25" s="2" t="inlineStr">
        <is>
          <t>Brutamontes (Gazimon)</t>
        </is>
      </c>
      <c r="B25">
        <f>H3</f>
        <v/>
      </c>
      <c r="C25" s="16">
        <f>H3*(1+C18*8)</f>
        <v/>
      </c>
      <c r="D25" t="n">
        <v>1.1</v>
      </c>
      <c r="E25" s="2" t="inlineStr">
        <is>
          <t>digilab/config.py &gt; ConfigEscala.fator_npc['tier1_brutamontes'] (calibrado: experiments/configs/escala/calibracao.json)</t>
        </is>
      </c>
      <c r="F25" t="inlineStr">
        <is>
          <t>CONFIG</t>
        </is>
      </c>
      <c r="G25" s="16">
        <f>H3*D25</f>
        <v/>
      </c>
      <c r="H25" s="12">
        <f>B25/G25</f>
        <v/>
      </c>
      <c r="I25" s="12">
        <f>C25/G25</f>
        <v/>
      </c>
      <c r="J25" s="12">
        <f>60*0.6/(96*0.6)</f>
        <v/>
      </c>
      <c r="K25" s="12">
        <f>(60+3.0*8)*0.6/(96*0.6)</f>
        <v/>
      </c>
      <c r="L25" t="n">
        <v>0.2213</v>
      </c>
      <c r="M25" s="2" t="inlineStr">
        <is>
          <t>experiments/configs/escala/validacao.json &gt; resultado.tier1_brutamontes.sem (sementes de validação)</t>
        </is>
      </c>
      <c r="N25" t="inlineStr">
        <is>
          <t>ARTEFATO</t>
        </is>
      </c>
      <c r="O25" t="n">
        <v>0.9688</v>
      </c>
      <c r="P25" s="2" t="inlineStr">
        <is>
          <t>experiments/configs/escala/validacao.json &gt; resultado.tier1_brutamontes.com</t>
        </is>
      </c>
      <c r="Q25" t="inlineStr">
        <is>
          <t>ARTEFATO</t>
        </is>
      </c>
    </row>
    <row r="26">
      <c r="A26" s="2" t="inlineStr">
        <is>
          <t>Sentinela (Tortomon)</t>
        </is>
      </c>
      <c r="B26">
        <f>H4</f>
        <v/>
      </c>
      <c r="C26" s="16">
        <f>H4*(1+C18*22)</f>
        <v/>
      </c>
      <c r="D26" t="n">
        <v>1.6</v>
      </c>
      <c r="E26" s="2" t="inlineStr">
        <is>
          <t>digilab/config.py &gt; ConfigEscala.fator_npc['tier2_sentinela'] (calibrado: experiments/configs/escala/calibracao.json)</t>
        </is>
      </c>
      <c r="F26" t="inlineStr">
        <is>
          <t>CONFIG</t>
        </is>
      </c>
      <c r="G26" s="16">
        <f>H4*D26</f>
        <v/>
      </c>
      <c r="H26" s="12">
        <f>B26/G26</f>
        <v/>
      </c>
      <c r="I26" s="12">
        <f>C26/G26</f>
        <v/>
      </c>
      <c r="J26" s="12">
        <f>60*0.8/(72*1.0)</f>
        <v/>
      </c>
      <c r="K26" s="12">
        <f>(60+3.0*22)*0.8/(72*1.0)</f>
        <v/>
      </c>
      <c r="L26" t="n">
        <v>0.4125</v>
      </c>
      <c r="M26" s="2" t="inlineStr">
        <is>
          <t>experiments/configs/escala/validacao.json &gt; resultado.tier2_sentinela.sem (sementes de validação)</t>
        </is>
      </c>
      <c r="N26" t="inlineStr">
        <is>
          <t>ARTEFATO</t>
        </is>
      </c>
      <c r="O26" t="n">
        <v>0.7025</v>
      </c>
      <c r="P26" s="2" t="inlineStr">
        <is>
          <t>experiments/configs/escala/validacao.json &gt; resultado.tier2_sentinela.com</t>
        </is>
      </c>
      <c r="Q26" t="inlineStr">
        <is>
          <t>ARTEFATO</t>
        </is>
      </c>
    </row>
    <row r="27">
      <c r="A27" s="2" t="inlineStr">
        <is>
          <t>Carcereiro</t>
        </is>
      </c>
      <c r="B27">
        <f>H4</f>
        <v/>
      </c>
      <c r="C27" s="16">
        <f>H4*(1+C18*22)</f>
        <v/>
      </c>
      <c r="D27" t="n">
        <v>1.5</v>
      </c>
      <c r="E27" s="2" t="inlineStr">
        <is>
          <t>digilab/config.py &gt; ConfigEscala.fator_npc['tier2_carcereiro'] (calibrado: experiments/configs/escala/calibracao.json)</t>
        </is>
      </c>
      <c r="F27" t="inlineStr">
        <is>
          <t>CONFIG</t>
        </is>
      </c>
      <c r="G27" s="16">
        <f>H4*D27</f>
        <v/>
      </c>
      <c r="H27" s="12">
        <f>B27/G27</f>
        <v/>
      </c>
      <c r="I27" s="12">
        <f>C27/G27</f>
        <v/>
      </c>
      <c r="J27" s="12">
        <f>60*0.8/(90*1.0)</f>
        <v/>
      </c>
      <c r="K27" s="12">
        <f>(60+3.0*22)*0.8/(90*1.0)</f>
        <v/>
      </c>
      <c r="L27" t="n">
        <v>0.2606</v>
      </c>
      <c r="M27" s="2" t="inlineStr">
        <is>
          <t>experiments/configs/escala/validacao.json &gt; resultado.tier2_carcereiro.sem (sementes de validação)</t>
        </is>
      </c>
      <c r="N27" t="inlineStr">
        <is>
          <t>ARTEFATO</t>
        </is>
      </c>
      <c r="O27" t="n">
        <v>0.8413</v>
      </c>
      <c r="P27" s="2" t="inlineStr">
        <is>
          <t>experiments/configs/escala/validacao.json &gt; resultado.tier2_carcereiro.com</t>
        </is>
      </c>
      <c r="Q27" t="inlineStr">
        <is>
          <t>ARTEFATO</t>
        </is>
      </c>
    </row>
    <row r="28">
      <c r="A28" s="2" t="inlineStr">
        <is>
          <t>Porteiro</t>
        </is>
      </c>
      <c r="B28">
        <f>H4</f>
        <v/>
      </c>
      <c r="C28" s="16">
        <f>H4*(1+C18*22)</f>
        <v/>
      </c>
      <c r="D28" t="n">
        <v>1.1</v>
      </c>
      <c r="E28" s="2" t="inlineStr">
        <is>
          <t>digilab/config.py &gt; ConfigEscala.fator_npc['tier2_porteiro'] (calibrado: experiments/configs/escala/calibracao.json)</t>
        </is>
      </c>
      <c r="F28" t="inlineStr">
        <is>
          <t>CONFIG</t>
        </is>
      </c>
      <c r="G28" s="16">
        <f>H4*D28</f>
        <v/>
      </c>
      <c r="H28" s="12">
        <f>B28/G28</f>
        <v/>
      </c>
      <c r="I28" s="12">
        <f>C28/G28</f>
        <v/>
      </c>
      <c r="J28" s="12">
        <f>60*0.8/(90*1.0)</f>
        <v/>
      </c>
      <c r="K28" s="12">
        <f>(60+3.0*22)*0.8/(90*1.0)</f>
        <v/>
      </c>
      <c r="L28" t="n">
        <v>0.1969</v>
      </c>
      <c r="M28" s="2" t="inlineStr">
        <is>
          <t>experiments/configs/escala/validacao.json &gt; resultado.tier2_porteiro.sem (sementes de validação)</t>
        </is>
      </c>
      <c r="N28" t="inlineStr">
        <is>
          <t>ARTEFATO</t>
        </is>
      </c>
      <c r="O28" t="n">
        <v>0.8938</v>
      </c>
      <c r="P28" s="2" t="inlineStr">
        <is>
          <t>experiments/configs/escala/validacao.json &gt; resultado.tier2_porteiro.com</t>
        </is>
      </c>
      <c r="Q28" t="inlineStr">
        <is>
          <t>ARTEFATO</t>
        </is>
      </c>
    </row>
    <row r="29">
      <c r="A29" s="2" t="inlineStr">
        <is>
          <t>Soberano</t>
        </is>
      </c>
      <c r="B29">
        <f>H5</f>
        <v/>
      </c>
      <c r="C29" s="16">
        <f>H5*(1+C18*36)</f>
        <v/>
      </c>
      <c r="D29" t="n">
        <v>1.2</v>
      </c>
      <c r="E29" s="2" t="inlineStr">
        <is>
          <t>digilab/config.py &gt; ConfigEscala.fator_npc['tier3_soberano'] (calibrado: experiments/configs/escala/calibracao.json)</t>
        </is>
      </c>
      <c r="F29" t="inlineStr">
        <is>
          <t>CONFIG</t>
        </is>
      </c>
      <c r="G29" s="16">
        <f>H5*D29</f>
        <v/>
      </c>
      <c r="H29" s="12">
        <f>B29/G29</f>
        <v/>
      </c>
      <c r="I29" s="12">
        <f>C29/G29</f>
        <v/>
      </c>
      <c r="J29" s="12">
        <f>60*1.0/(110*1.0)</f>
        <v/>
      </c>
      <c r="K29" s="12">
        <f>(60+3.0*36)*1.0/(110*1.0)</f>
        <v/>
      </c>
      <c r="L29" t="n">
        <v>0.1688</v>
      </c>
      <c r="M29" s="2" t="inlineStr">
        <is>
          <t>experiments/configs/escala/validacao.json &gt; resultado.tier3_soberano.sem (sementes de validação)</t>
        </is>
      </c>
      <c r="N29" t="inlineStr">
        <is>
          <t>ARTEFATO</t>
        </is>
      </c>
      <c r="O29" t="n">
        <v>0.9116</v>
      </c>
      <c r="P29" s="2" t="inlineStr">
        <is>
          <t>experiments/configs/escala/validacao.json &gt; resultado.tier3_soberano.com</t>
        </is>
      </c>
      <c r="Q29" t="inlineStr">
        <is>
          <t>ARTEFATO</t>
        </is>
      </c>
    </row>
    <row r="30">
      <c r="A30" s="2" t="inlineStr">
        <is>
          <t>leitura</t>
        </is>
      </c>
      <c r="B30" s="2" t="inlineStr">
        <is>
          <t>com os fatores propostos a razão pet/NPC fica abaixo de 1,0 sem treino e acima com o treino típico em todos os portões (Brutamontes (Gazimon) 0,91 → 1,13; Sentinela (Tortomon) 0,62 → 1,04; Carcereiro 0,67 → 1,11; Porteiro 0,91 → 1,51; Soberano 0,83 → 1,73). Os NPCs da Torre deixam de ter tamanho de adulto: passam à escala do Champion. As taxas vêm da validação da Parte C (experiments/calibrar_escala.py --validar); a Sentinela não fecha com nenhum fator (estilo tartaruga). As razões de hoje usam o modelo de poder da aba jornada (contas sobre os valores do config.py, visíveis na fórmula).</t>
        </is>
      </c>
    </row>
    <row r="32">
      <c r="A32" s="15" t="inlineStr">
        <is>
          <t>E4 redefinido (B2.6, PROPOSTO)</t>
        </is>
      </c>
    </row>
    <row r="33">
      <c r="A33" s="8" t="inlineStr">
        <is>
          <t>item</t>
        </is>
      </c>
      <c r="B33" s="8" t="inlineStr">
        <is>
          <t>hoje</t>
        </is>
      </c>
      <c r="C33" s="8" t="inlineStr">
        <is>
          <t>proposta</t>
        </is>
      </c>
    </row>
    <row r="34">
      <c r="A34" s="2" t="inlineStr">
        <is>
          <t>o que mede</t>
        </is>
      </c>
      <c r="B34" s="2" t="inlineStr">
        <is>
          <t>adulto × adolescente da mesma linha, mesma espécie e caráter, sem treino</t>
        </is>
      </c>
      <c r="C34" s="2" t="inlineStr">
        <is>
          <t>o treino fecha parte da distância entre estágios: adulto SEM treino × adolescente com o treino MÁXIMO do estágio (22 pontos)</t>
        </is>
      </c>
    </row>
    <row r="35">
      <c r="A35" s="2" t="inlineStr">
        <is>
          <t>meta</t>
        </is>
      </c>
      <c r="B35" s="2" t="inlineStr">
        <is>
          <t>taxa do adulto em [0,60, 0,85]</t>
        </is>
      </c>
      <c r="C35" s="2" t="inlineStr">
        <is>
          <t>taxa do adulto em [0,60, 0,85] com o adolescente treinado; e adulto sem treino × adolescente sem treino ≥ 0,90 (o 'stat check' é de propósito)</t>
        </is>
      </c>
    </row>
    <row r="36">
      <c r="A36" s="2" t="inlineStr">
        <is>
          <t>por quê</t>
        </is>
      </c>
      <c r="B36" s="2" t="inlineStr">
        <is>
          <t>com escala de franquia o adulto sem treino esmaga o adolescente sem treino (E_adulto/E_adol = 2,5)</t>
        </is>
      </c>
      <c r="C36" s="2" t="inlineStr">
        <is>
          <t>a pergunta vira 'o treino do estágio anterior compensa um pouco a evolução?' (princípio 7: treinar cedo rende)</t>
        </is>
      </c>
    </row>
    <row r="37">
      <c r="A37" s="2" t="inlineStr">
        <is>
          <t>resultado de hoje</t>
        </is>
      </c>
      <c r="B37" s="2" t="inlineStr">
        <is>
          <t>duelista 0,78, emboscador 0,74, espelho 0,62, furioso 0,94, muralha 1,00, sentinela 1,00, tita 0,99, vigia 1,00</t>
        </is>
      </c>
      <c r="C37" s="2" t="inlineStr">
        <is>
          <t>SEM FONTE até a Parte C (bateria V21C com a escala ligada)</t>
        </is>
      </c>
    </row>
    <row r="39">
      <c r="A39" s="15" t="inlineStr">
        <is>
          <t>Constantes absolutas do combate (B2.3)</t>
        </is>
      </c>
    </row>
    <row r="40">
      <c r="A40" s="8" t="inlineStr">
        <is>
          <t>constante</t>
        </is>
      </c>
      <c r="B40" s="8" t="inlineStr">
        <is>
          <t>campo</t>
        </is>
      </c>
      <c r="C40" s="8" t="inlineStr">
        <is>
          <t>valor</t>
        </is>
      </c>
      <c r="D40" s="8" t="inlineStr">
        <is>
          <t>fonte</t>
        </is>
      </c>
      <c r="E40" s="8" t="inlineStr">
        <is>
          <t>status</t>
        </is>
      </c>
      <c r="F40" s="8" t="inlineStr">
        <is>
          <t>tipo</t>
        </is>
      </c>
      <c r="G40" s="8" t="inlineStr">
        <is>
          <t>como tornar relativa</t>
        </is>
      </c>
    </row>
    <row r="41">
      <c r="A41" s="2" t="inlineStr">
        <is>
          <t>dano do golpe rápido</t>
        </is>
      </c>
      <c r="B41" s="2" t="inlineStr">
        <is>
          <t>ConfigCombateV2.dano_golpe_rapido</t>
        </is>
      </c>
      <c r="C41" t="n">
        <v>8</v>
      </c>
      <c r="D41" s="2" t="inlineStr">
        <is>
          <t>digilab/config.py &gt; ConfigCombateV2.dano_golpe_rapido</t>
        </is>
      </c>
      <c r="E41" t="inlineStr">
        <is>
          <t>CONFIG</t>
        </is>
      </c>
      <c r="F41" s="2" t="inlineStr">
        <is>
          <t>dano</t>
        </is>
      </c>
      <c r="G41" s="2" t="inlineStr">
        <is>
          <t>vira relativo: × E_A / E_B (unidades de quem recebe)</t>
        </is>
      </c>
    </row>
    <row r="42">
      <c r="A42" s="2" t="inlineStr">
        <is>
          <t>dano do disparo</t>
        </is>
      </c>
      <c r="B42" s="2" t="inlineStr">
        <is>
          <t>ConfigCombateV2.dano_disparo</t>
        </is>
      </c>
      <c r="C42" t="n">
        <v>6</v>
      </c>
      <c r="D42" s="2" t="inlineStr">
        <is>
          <t>digilab/config.py &gt; ConfigCombateV2.dano_disparo</t>
        </is>
      </c>
      <c r="E42" t="inlineStr">
        <is>
          <t>CONFIG</t>
        </is>
      </c>
      <c r="F42" s="2" t="inlineStr">
        <is>
          <t>dano</t>
        </is>
      </c>
      <c r="G42" s="2" t="inlineStr">
        <is>
          <t>idem</t>
        </is>
      </c>
    </row>
    <row r="43">
      <c r="A43" s="2" t="inlineStr">
        <is>
          <t>dano do pesado</t>
        </is>
      </c>
      <c r="B43" s="2" t="inlineStr">
        <is>
          <t>ConfigCombateV2.dano_pesado</t>
        </is>
      </c>
      <c r="C43" t="n">
        <v>25</v>
      </c>
      <c r="D43" s="2" t="inlineStr">
        <is>
          <t>digilab/config.py &gt; ConfigCombateV2.dano_pesado</t>
        </is>
      </c>
      <c r="E43" t="inlineStr">
        <is>
          <t>CONFIG</t>
        </is>
      </c>
      <c r="F43" s="2" t="inlineStr">
        <is>
          <t>dano</t>
        </is>
      </c>
      <c r="G43" s="2" t="inlineStr">
        <is>
          <t>idem</t>
        </is>
      </c>
    </row>
    <row r="44">
      <c r="A44" s="2" t="inlineStr">
        <is>
          <t>dano do parry (V2C)</t>
        </is>
      </c>
      <c r="B44" s="2" t="inlineStr">
        <is>
          <t>ConfigCombateV2C.dano_parry</t>
        </is>
      </c>
      <c r="C44" t="n">
        <v>5</v>
      </c>
      <c r="D44" s="2" t="inlineStr">
        <is>
          <t>digilab/config.py &gt; ConfigCombateV2C.dano_parry</t>
        </is>
      </c>
      <c r="E44" t="inlineStr">
        <is>
          <t>CONFIG</t>
        </is>
      </c>
      <c r="F44" s="2" t="inlineStr">
        <is>
          <t>dano</t>
        </is>
      </c>
      <c r="G44" s="2" t="inlineStr">
        <is>
          <t>idem</t>
        </is>
      </c>
    </row>
    <row r="45">
      <c r="A45" s="2" t="inlineStr">
        <is>
          <t>dano da investida</t>
        </is>
      </c>
      <c r="B45" s="2" t="inlineStr">
        <is>
          <t>ConfigCombateV21.dano_investida</t>
        </is>
      </c>
      <c r="C45" t="n">
        <v>8</v>
      </c>
      <c r="D45" s="2" t="inlineStr">
        <is>
          <t>digilab/config.py &gt; ConfigCombateV21.dano_investida</t>
        </is>
      </c>
      <c r="E45" t="inlineStr">
        <is>
          <t>CONFIG</t>
        </is>
      </c>
      <c r="F45" s="2" t="inlineStr">
        <is>
          <t>dano</t>
        </is>
      </c>
      <c r="G45" s="2" t="inlineStr">
        <is>
          <t>idem</t>
        </is>
      </c>
    </row>
    <row r="46">
      <c r="A46" s="2" t="inlineStr">
        <is>
          <t>dano extra do duelista</t>
        </is>
      </c>
      <c r="B46" s="2" t="inlineStr">
        <is>
          <t>ConfigCombateV21.dano_extra_duelista</t>
        </is>
      </c>
      <c r="C46" t="n">
        <v>4</v>
      </c>
      <c r="D46" s="2" t="inlineStr">
        <is>
          <t>digilab/config.py &gt; ConfigCombateV21.dano_extra_duelista</t>
        </is>
      </c>
      <c r="E46" t="inlineStr">
        <is>
          <t>CONFIG</t>
        </is>
      </c>
      <c r="F46" s="2" t="inlineStr">
        <is>
          <t>dano</t>
        </is>
      </c>
      <c r="G46" s="2" t="inlineStr">
        <is>
          <t>idem</t>
        </is>
      </c>
    </row>
    <row r="47">
      <c r="A47" s="2" t="inlineStr">
        <is>
          <t>vida base</t>
        </is>
      </c>
      <c r="B47" s="2" t="inlineStr">
        <is>
          <t>ConfigCombateV21C.hp_base</t>
        </is>
      </c>
      <c r="C47" t="n">
        <v>75</v>
      </c>
      <c r="D47" s="2" t="inlineStr">
        <is>
          <t>digilab/config.py &gt; ConfigCombateV21C.hp_base</t>
        </is>
      </c>
      <c r="E47" t="inlineStr">
        <is>
          <t>CONFIG</t>
        </is>
      </c>
      <c r="F47" s="2" t="inlineStr">
        <is>
          <t>vida</t>
        </is>
      </c>
      <c r="G47" s="2" t="inlineStr">
        <is>
          <t>fica nas unidades próprias; a vida exibida é × E (não entra na luta)</t>
        </is>
      </c>
    </row>
    <row r="48">
      <c r="A48" s="2" t="inlineStr">
        <is>
          <t>vida por vigor</t>
        </is>
      </c>
      <c r="B48" s="2" t="inlineStr">
        <is>
          <t>ConfigCombateV21C.hp_por_vigor</t>
        </is>
      </c>
      <c r="C48" t="n">
        <v>2.5</v>
      </c>
      <c r="D48" s="2" t="inlineStr">
        <is>
          <t>digilab/config.py &gt; ConfigCombateV21C.hp_por_vigor</t>
        </is>
      </c>
      <c r="E48" t="inlineStr">
        <is>
          <t>CONFIG</t>
        </is>
      </c>
      <c r="F48" s="2" t="inlineStr">
        <is>
          <t>vida</t>
        </is>
      </c>
      <c r="G48" s="2" t="inlineStr">
        <is>
          <t>idem</t>
        </is>
      </c>
    </row>
    <row r="49">
      <c r="A49" s="2" t="inlineStr">
        <is>
          <t>multiplicador de estágio (0,4 / 0,6 / 0,8 / 1,0) na vida e no guts</t>
        </is>
      </c>
      <c r="B49" s="2" t="inlineStr">
        <is>
          <t>ConfigCatalogo.mult_estagio</t>
        </is>
      </c>
      <c r="C49" t="n">
        <v>0.4</v>
      </c>
      <c r="D49" s="2" t="inlineStr">
        <is>
          <t>digilab/config.py &gt; ConfigCatalogo.mult_estagio</t>
        </is>
      </c>
      <c r="E49" t="inlineStr">
        <is>
          <t>CONFIG</t>
        </is>
      </c>
      <c r="F49" s="2" t="inlineStr">
        <is>
          <t>vida e guts</t>
        </is>
      </c>
      <c r="G49" s="2" t="inlineStr">
        <is>
          <t>sai da campanha: a razão E_A/E_B faz o papel dele na vida; no guts, decidir se fica (proposta: fica, é ritmo)</t>
        </is>
      </c>
    </row>
    <row r="50">
      <c r="A50" s="2" t="inlineStr">
        <is>
          <t>regeneração de guts por turno (4 + 0,4 × recuperação)</t>
        </is>
      </c>
      <c r="B50" s="2" t="inlineStr">
        <is>
          <t>ConfigCombateV21.regen_base</t>
        </is>
      </c>
      <c r="C50" t="n">
        <v>4</v>
      </c>
      <c r="D50" s="2" t="inlineStr">
        <is>
          <t>digilab/config.py &gt; ConfigCombateV21.regen_base</t>
        </is>
      </c>
      <c r="E50" t="inlineStr">
        <is>
          <t>CONFIG</t>
        </is>
      </c>
      <c r="F50" s="2" t="inlineStr">
        <is>
          <t>guts</t>
        </is>
      </c>
      <c r="G50" s="2" t="inlineStr">
        <is>
          <t>fica absoluta (ritmo)</t>
        </is>
      </c>
    </row>
    <row r="51">
      <c r="A51" s="2" t="inlineStr">
        <is>
          <t>custos de guts (golpe 10, pesado 15, disparo e esquiva 20)</t>
        </is>
      </c>
      <c r="B51" s="2" t="inlineStr">
        <is>
          <t>ConfigCombateV2.custo_*</t>
        </is>
      </c>
      <c r="C51" t="n">
        <v>10</v>
      </c>
      <c r="D51" s="2" t="inlineStr">
        <is>
          <t>digilab/config.py &gt; ConfigCombateV2.custo_*</t>
        </is>
      </c>
      <c r="E51" t="inlineStr">
        <is>
          <t>CONFIG</t>
        </is>
      </c>
      <c r="F51" s="2" t="inlineStr">
        <is>
          <t>guts</t>
        </is>
      </c>
      <c r="G51" s="2" t="inlineStr">
        <is>
          <t>guts não precisa escalar: é recurso de ritmo, não magnitude</t>
        </is>
      </c>
    </row>
    <row r="52">
      <c r="A52" s="2" t="inlineStr">
        <is>
          <t>guts máximo, inicial, regen, carregar +25, defender +5</t>
        </is>
      </c>
      <c r="B52" s="2" t="inlineStr">
        <is>
          <t>ConfigCombateV21 / V2</t>
        </is>
      </c>
      <c r="C52" t="n">
        <v>25</v>
      </c>
      <c r="D52" s="2" t="inlineStr">
        <is>
          <t>digilab/config.py &gt; ConfigCombateV21 / V2</t>
        </is>
      </c>
      <c r="E52" t="inlineStr">
        <is>
          <t>CONFIG</t>
        </is>
      </c>
      <c r="F52" s="2" t="inlineStr">
        <is>
          <t>guts</t>
        </is>
      </c>
      <c r="G52" s="2" t="inlineStr">
        <is>
          <t>idem (fica absoluto)</t>
        </is>
      </c>
    </row>
    <row r="53">
      <c r="A53" s="2" t="inlineStr">
        <is>
          <t>limiares de guts nas condições (20, 40, 60)</t>
        </is>
      </c>
      <c r="B53" s="2" t="inlineStr">
        <is>
          <t>ConfigCombateV2.limiares_guts</t>
        </is>
      </c>
      <c r="C53" t="n">
        <v>20</v>
      </c>
      <c r="D53" s="2" t="inlineStr">
        <is>
          <t>digilab/config.py &gt; ConfigCombateV2.limiares_guts</t>
        </is>
      </c>
      <c r="E53" t="inlineStr">
        <is>
          <t>CONFIG</t>
        </is>
      </c>
      <c r="F53" s="2" t="inlineStr">
        <is>
          <t>guts</t>
        </is>
      </c>
      <c r="G53" s="2" t="inlineStr">
        <is>
          <t>idem</t>
        </is>
      </c>
    </row>
    <row r="54">
      <c r="A54" s="2" t="inlineStr">
        <is>
          <t>multiplicadores de força/mira/guarda (0,7 + 0,03 × stat)</t>
        </is>
      </c>
      <c r="B54" s="2" t="inlineStr">
        <is>
          <t>ConfigCombateV21.mult_base / mult_por_ponto</t>
        </is>
      </c>
      <c r="C54" t="n">
        <v>0.03</v>
      </c>
      <c r="D54" s="2" t="inlineStr">
        <is>
          <t>digilab/config.py &gt; ConfigCombateV21.mult_base / mult_por_ponto</t>
        </is>
      </c>
      <c r="E54" t="inlineStr">
        <is>
          <t>CONFIG</t>
        </is>
      </c>
      <c r="F54" s="2" t="inlineStr">
        <is>
          <t>stat</t>
        </is>
      </c>
      <c r="G54" s="2" t="inlineStr">
        <is>
          <t>dependem do stat de catálogo, que NÃO escala (o perfil fica)</t>
        </is>
      </c>
    </row>
    <row r="55">
      <c r="A55" s="2" t="inlineStr">
        <is>
          <t>frações de vida nas condições (25/50/75%)</t>
        </is>
      </c>
      <c r="B55" s="2" t="inlineStr">
        <is>
          <t>ConfigCombateV2.fracoes_hp</t>
        </is>
      </c>
      <c r="C55" t="n">
        <v>0.25</v>
      </c>
      <c r="D55" s="2" t="inlineStr">
        <is>
          <t>digilab/config.py &gt; ConfigCombateV2.fracoes_hp</t>
        </is>
      </c>
      <c r="E55" t="inlineStr">
        <is>
          <t>CONFIG</t>
        </is>
      </c>
      <c r="F55" s="2" t="inlineStr">
        <is>
          <t>fração</t>
        </is>
      </c>
      <c r="G55" s="2" t="inlineStr">
        <is>
          <t>já relativas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60" customWidth="1" min="3" max="3"/>
    <col width="60" customWidth="1" min="4" max="4"/>
    <col width="80" customWidth="1" min="5" max="5"/>
  </cols>
  <sheetData>
    <row r="1">
      <c r="A1" s="8" t="inlineStr">
        <is>
          <t>gravidade (1 = mais grave)</t>
        </is>
      </c>
      <c r="B1" s="8" t="inlineStr">
        <is>
          <t>alerta</t>
        </is>
      </c>
      <c r="C1" s="8" t="inlineStr">
        <is>
          <t>número</t>
        </is>
      </c>
      <c r="D1" s="8" t="inlineStr">
        <is>
          <t>fonte</t>
        </is>
      </c>
      <c r="E1" s="8" t="inlineStr">
        <is>
          <t>proposta (só proposta)</t>
        </is>
      </c>
    </row>
    <row r="2">
      <c r="A2" s="6" t="n">
        <v>1</v>
      </c>
      <c r="B2" s="2" t="inlineStr">
        <is>
          <t>Campanha não exige treino: o pet sem treino do estágio sugerido vence os NPCs</t>
        </is>
      </c>
      <c r="C2" s="2" t="inlineStr">
        <is>
          <t>0,39–0,66 (média por NPC); com treino típico 0,81–0,97</t>
        </is>
      </c>
      <c r="D2" s="2" t="inlineStr">
        <is>
          <t>experiments/configs/progressao/validacao_resultado.json &gt; todos_vencem.*.basico_media / treinado_media</t>
        </is>
      </c>
      <c r="E2" s="2" t="inlineStr">
        <is>
          <t>NPCs na escala proposta (aba escala) com distância alvo, e ε menor (0,2): o 'todo pet treinado vence' depende de ε 0,4–0,5, que também deixa o pet sem treino vencer. Recalibrar só depois da escala (Parte C).</t>
        </is>
      </c>
    </row>
    <row r="3">
      <c r="A3" s="6" t="n">
        <v>2</v>
      </c>
      <c r="B3" s="2" t="inlineStr">
        <is>
          <t>A campanha não separa mais os donos</t>
        </is>
      </c>
      <c r="C3" s="2" t="inlineStr">
        <is>
          <t>exigente − atencioso: brutamontes -0,004, carcereiro -0,007, porteiro -0,010, sentinela -0,013, soberano -0,014</t>
        </is>
      </c>
      <c r="D3" s="2" t="inlineStr">
        <is>
          <t>artifacts_treino/resumo.json &gt; exigente_x_atencioso.campanha_exigente_menos_atencioso</t>
        </is>
      </c>
      <c r="E3" s="2" t="inlineStr">
        <is>
          <t>Consequência do alerta 1 (todo pet treinado vence 0,96–1,00). A pergunta 'forçar custa?' precisa de um portão que o pet sem treino perca; medir de novo depois da recalibração.</t>
        </is>
      </c>
    </row>
    <row r="4">
      <c r="A4" s="6" t="n">
        <v>3</v>
      </c>
      <c r="B4" s="2" t="inlineStr">
        <is>
          <t>E4: o adulto esmaga o adolescente da mesma linha</t>
        </is>
      </c>
      <c r="C4" s="2" t="inlineStr">
        <is>
          <t>vigia 1,00, sentinela 1,00, muralha 1,00, tita 0,99, furioso 0,94, duelista 0,78, emboscador 0,74, espelho 0,62 (meta [0,60, 0,85])</t>
        </is>
      </c>
      <c r="D4" s="2" t="inlineStr">
        <is>
          <t>artifacts_combate_v21c/validacao/gates.json &gt; E4_estagio_importa_sem_esmagar.valores.taxa_por_forma</t>
        </is>
      </c>
      <c r="E4" s="2" t="inlineStr">
        <is>
          <t>Com uma escala de franquia a luta entre estágios fica desigual de propósito; redefinir o E4 (proposta na Parte B).</t>
        </is>
      </c>
    </row>
    <row r="5">
      <c r="A5" s="5" t="n">
        <v>4</v>
      </c>
      <c r="B5" s="2" t="inlineStr">
        <is>
          <t>O pet não parece crescer: o número de catálogo quase não muda do bebê ao adulto</t>
        </is>
      </c>
      <c r="C5" s="2" t="inlineStr">
        <is>
          <t>vigor da Brasa 9 no bebê → no máximo 12 no adulto (1,33×; soma sempre 60); a vida de combate vai de 39 a 105 (2,69×)</t>
        </is>
      </c>
      <c r="D5" s="2" t="inlineStr">
        <is>
          <t>digilab/combate_v2/v21/catalogo.py &gt; stats; ConfigCatalogo.mult_estagio; ConfigCombateV21C</t>
        </is>
      </c>
      <c r="E5" s="2" t="inlineStr">
        <is>
          <t>Separar perfil (pontos, soma zero) de escala (magnitude por estágio e treino); Parte B, aba escala.</t>
        </is>
      </c>
    </row>
    <row r="6">
      <c r="A6" s="5" t="n">
        <v>5</v>
      </c>
      <c r="B6" s="2" t="inlineStr">
        <is>
          <t>Durações dos estágios cortadas pela metade (em relação aos v-pets) limitam o treino por estágio</t>
        </is>
      </c>
      <c r="C6" s="2" t="inlineStr">
        <is>
          <t>Rookie 12 h (v-pet 24 h), Champion 18 h (v-pet 36 h); sessões medidas no Rookie inteiro (atencioso): 3,7, com alvo de 10 por dia e teto de 10 pontos no estágio</t>
        </is>
      </c>
      <c r="D6" s="2" t="inlineStr">
        <is>
          <t>docs/cronograma_interacoes.json &gt; estagios.*.nota; artifacts_treino/vidas (contagem de treinar_*)</t>
        </is>
      </c>
      <c r="E6" s="2" t="inlineStr">
        <is>
          <t>Com o Rookie de 12 h (parte dele dormindo) cabem poucas sessões; os pontos no fim do Rookie são SEM FONTE (ver abaixo). Se ficarem longe do teto: o estágio cresce, o teto desce, ou o ganho por sessão sobe no Rookie (princípio 7).</t>
        </is>
      </c>
    </row>
    <row r="7">
      <c r="A7" s="7" t="n">
        <v>6</v>
      </c>
      <c r="B7" s="2" t="inlineStr">
        <is>
          <t>Divergência: NPCs de docs/pve_treino.json × config.py</t>
        </is>
      </c>
      <c r="C7" s="2" t="inlineStr">
        <is>
          <t>JSON: tier 1 72 agressivo, tier 2 80 contragolpe, tier 3 90 adaptativo; config: Brutamontes 96, Torre 72/90/90, Soberano 110</t>
        </is>
      </c>
      <c r="D7" s="2" t="inlineStr">
        <is>
          <t>docs/pve_treino.json &gt; npcs; digilab/config.py &gt; ConfigCampanha.npcs</t>
        </is>
      </c>
      <c r="E7" s="2" t="inlineStr">
        <is>
          <t>Registrado em REGISTRO_DESVIOS (escada rebalanceada, 2026-09-25/26). Atualizar o JSON ou marcá-lo como histórico.</t>
        </is>
      </c>
    </row>
    <row r="8">
      <c r="A8" s="7" t="n">
        <v>6</v>
      </c>
      <c r="B8" s="2" t="inlineStr">
        <is>
          <t>Divergência: sobrecarga por sessão forçada</t>
        </is>
      </c>
      <c r="C8" s="2" t="inlineStr">
        <is>
          <t>JSON 15 × config 25</t>
        </is>
      </c>
      <c r="D8" s="2" t="inlineStr">
        <is>
          <t>docs/pve_treino.json &gt; treino.forcar.custos.sobrecarga; digilab/config.py &gt; ConfigTreino.sobrecarga_forcar</t>
        </is>
      </c>
      <c r="E8" s="2" t="inlineStr">
        <is>
          <t>Calibração registrada (15 → 25). Atualizar o JSON.</t>
        </is>
      </c>
    </row>
    <row r="9">
      <c r="A9" s="7" t="n">
        <v>6</v>
      </c>
      <c r="B9" s="2" t="inlineStr">
        <is>
          <t>Divergência: cuidado_corporal.json citado e ausente</t>
        </is>
      </c>
      <c r="C9" s="2" t="inlineStr">
        <is>
          <t>marca 'robusto' e desempate da forma adulta por peso</t>
        </is>
      </c>
      <c r="D9" s="2" t="inlineStr">
        <is>
          <t>docs/arvore_evolucao.json &gt; transicoes (marca_robusto, desempate)</t>
        </is>
      </c>
      <c r="E9" s="2" t="inlineStr">
        <is>
          <t>Especificar o cuidado corporal ou tirar a referência da árvore.</t>
        </is>
      </c>
    </row>
    <row r="10">
      <c r="A10" s="7" t="n">
        <v>6</v>
      </c>
      <c r="B10" s="2" t="inlineStr">
        <is>
          <t>Divergência: intervalos das necessidades da criança em diante e modo produto só no JSON</t>
        </is>
      </c>
      <c r="C10" s="2" t="inlineStr">
        <is>
          <t>criança 90/120/90, adolescente 150/120/120, adulto 180/120/180; modo produto janela 60, intervalos ×2</t>
        </is>
      </c>
      <c r="D10" s="2" t="inlineStr">
        <is>
          <t>docs/cronograma_interacoes.json &gt; estagios.*.intervalos_min, modo_produto</t>
        </is>
      </c>
      <c r="E10" s="2" t="inlineStr">
        <is>
          <t>Nenhum código usa (Python nem web): só o bebê chama. Decidir se a criança chama ou tirar do JSON.</t>
        </is>
      </c>
    </row>
    <row r="11">
      <c r="A11" s="7" t="n">
        <v>6</v>
      </c>
      <c r="B11" s="2" t="inlineStr">
        <is>
          <t>Divergência: escala do caráter pelos traços na web</t>
        </is>
      </c>
      <c r="C11" s="2" t="inlineStr">
        <is>
          <t>web 0.1 × Python escala_carater 0.05</t>
        </is>
      </c>
      <c r="D11" s="2" t="inlineStr">
        <is>
          <t>web/app/motor/constantes.ts &gt; CAT.escalaCarater; digilab/config.py &gt; ConfigEvolucaoPesquisa.escala_carater</t>
        </is>
      </c>
      <c r="E11" s="2" t="inlineStr">
        <is>
          <t>O 0,1 é do caráter PROVISÓRIO pelos traços (pets v1/v2, só na web); os pets v3 usam o desvio da política. Registrar ou alinhar.</t>
        </is>
      </c>
    </row>
    <row r="12">
      <c r="A12" s="7" t="n">
        <v>6</v>
      </c>
      <c r="B12" s="2" t="inlineStr">
        <is>
          <t>Divergência: o bebê luta na web (×0,4) e não no Python; a condição física vem da hora da luta na web</t>
        </is>
      </c>
      <c r="C12" s="2" t="inlineStr">
        <is>
          <t>—</t>
        </is>
      </c>
      <c r="D12" s="2" t="inlineStr">
        <is>
          <t>REGISTRO_DESVIOS (2026-09-24 e 2026-09-25)</t>
        </is>
      </c>
      <c r="E12" s="2" t="inlineStr">
        <is>
          <t>Já registrado; manter.</t>
        </is>
      </c>
    </row>
    <row r="13">
      <c r="A13" s="7" t="n">
        <v>6</v>
      </c>
      <c r="B13" s="2" t="inlineStr">
        <is>
          <t>Divergência: tempo da web</t>
        </is>
      </c>
      <c r="C13" s="2" t="inlineStr">
        <is>
          <t>velocidade padrão 10 min/s; com chamado aberto cai para 1x</t>
        </is>
      </c>
      <c r="D13" s="2" t="inlineStr">
        <is>
          <t>web/app/src/tempo.ts &gt; VELOCIDADES, velocidade</t>
        </is>
      </c>
      <c r="E13" s="2" t="inlineStr">
        <is>
          <t>O Python simula 14 dias de minuto a minuto; a web deixa o jogador acelerar. A jornada em horas reais depende disso.</t>
        </is>
      </c>
    </row>
    <row r="14">
      <c r="A14" s="7" t="n">
        <v>7</v>
      </c>
      <c r="B14" s="2" t="inlineStr">
        <is>
          <t>Células SEM FONTE: pontos de treino acumulados por dia (aba economia_treino)</t>
        </is>
      </c>
      <c r="C14" s="2" t="inlineStr">
        <is>
          <t>5 células (uma por braço)</t>
        </is>
      </c>
      <c r="D14" s="2" t="inlineStr">
        <is>
          <t>artifacts_treino/vidas/*.treino.json (só o total da vida)</t>
        </is>
      </c>
      <c r="E14" s="2" t="inlineStr">
        <is>
          <t>Run: rejogar as 50 vidas de artifacts_treino/vidas com MotorTreino gravando os pontos a cada dia (~1–2 min; leitura das vidas já gravadas, sem vida nova). Não rodada: a tarefa proíbe experimento para preencher.</t>
        </is>
      </c>
    </row>
    <row r="15">
      <c r="A15" s="7" t="n">
        <v>7</v>
      </c>
      <c r="B15" s="2" t="inlineStr">
        <is>
          <t>Célula SEM FONTE: taxa de vitória do pet típico contra os bots da arena do jogo</t>
        </is>
      </c>
      <c r="C15" s="2" t="inlineStr">
        <is>
          <t>a arena do jogo (bots, stats normalizados) não tem artefato por estágio</t>
        </is>
      </c>
      <c r="D15" s="2" t="inlineStr">
        <is>
          <t>—</t>
        </is>
      </c>
      <c r="E15" s="2" t="inlineStr">
        <is>
          <t>Run: pets de artifacts_treino por estágio × 15 bots da arena, 100 partidas (~5 min com 8 processos).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tools/gerar_planilha_progressao.py</dc:creator>
  <dcterms:created xsi:type="dcterms:W3CDTF">2026-09-28T18:28:33Z</dcterms:created>
  <dcterms:modified xsi:type="dcterms:W3CDTF">2026-09-28T21:28:55Z</dcterms:modified>
</cp:coreProperties>
</file>